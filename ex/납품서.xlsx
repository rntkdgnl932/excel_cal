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E1PEPF00001E2F\EXCELCNV\d87ca15e-caae-4102-8ef8-ee057eee6637\"/>
    </mc:Choice>
  </mc:AlternateContent>
  <xr:revisionPtr revIDLastSave="0" documentId="8_{99E9175B-DF99-4716-BEB0-F265B662BBFC}" xr6:coauthVersionLast="47" xr6:coauthVersionMax="47" xr10:uidLastSave="{00000000-0000-0000-0000-000000000000}"/>
  <bookViews>
    <workbookView xWindow="-60" yWindow="-60" windowWidth="15480" windowHeight="11640" xr2:uid="{2356AA59-810C-45C2-9484-62566FA9F6A1}"/>
  </bookViews>
  <sheets>
    <sheet name="제품납품서1" sheetId="6" r:id="rId1"/>
    <sheet name="제품납품서" sheetId="2" r:id="rId2"/>
  </sheets>
  <externalReferences>
    <externalReference r:id="rId3"/>
  </externalReferences>
  <definedNames>
    <definedName name="_xlnm.Print_Area" localSheetId="1">제품납품서!$B$2:$J$27</definedName>
    <definedName name="_xlnm.Print_Area" localSheetId="0">제품납품서1!$A$1:$L$27</definedName>
    <definedName name="요일">WEEKDAY([1]만년달력!$B$4)</definedName>
    <definedName name="자리">(ROW()-7)*7+COLUMN()-1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H7" i="6"/>
  <c r="J7" i="6"/>
  <c r="K7" i="6"/>
  <c r="F8" i="6"/>
  <c r="H8" i="6"/>
  <c r="J8" i="6"/>
  <c r="K8" i="6"/>
  <c r="F9" i="6"/>
  <c r="H9" i="6"/>
  <c r="J9" i="6"/>
  <c r="F10" i="6"/>
  <c r="H10" i="6"/>
  <c r="J10" i="6"/>
  <c r="K10" i="6"/>
  <c r="C20" i="6"/>
  <c r="F22" i="6"/>
  <c r="F11" i="6"/>
  <c r="F12" i="6"/>
  <c r="F13" i="6"/>
  <c r="F14" i="6"/>
  <c r="F15" i="6"/>
  <c r="F16" i="6"/>
  <c r="F17" i="6"/>
  <c r="F18" i="6"/>
  <c r="H11" i="6"/>
  <c r="J11" i="6"/>
  <c r="K11" i="6"/>
  <c r="H12" i="6"/>
  <c r="J12" i="6"/>
  <c r="K12" i="6"/>
  <c r="H13" i="6"/>
  <c r="J13" i="6"/>
  <c r="K13" i="6"/>
  <c r="H14" i="6"/>
  <c r="J14" i="6"/>
  <c r="K14" i="6"/>
  <c r="H15" i="6"/>
  <c r="J15" i="6"/>
  <c r="K15" i="6"/>
  <c r="H16" i="6"/>
  <c r="J16" i="6"/>
  <c r="K16" i="6"/>
  <c r="H17" i="6"/>
  <c r="J17" i="6"/>
  <c r="K17" i="6"/>
  <c r="H18" i="6"/>
  <c r="J18" i="6"/>
  <c r="K18" i="6"/>
  <c r="H19" i="6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C20" i="2"/>
  <c r="K9" i="6"/>
  <c r="J19" i="6"/>
  <c r="K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Orange</author>
  </authors>
  <commentList>
    <comment ref="B1" authorId="0" shapeId="0" xr:uid="{F532012F-E345-46E1-A8EE-B607F3D2D1C1}">
      <text>
        <r>
          <rPr>
            <b/>
            <sz val="9"/>
            <color indexed="81"/>
            <rFont val="굴림"/>
            <family val="3"/>
            <charset val="129"/>
          </rPr>
          <t>색칠된 부분은 자동으로 계산됩니다.
수식을 지우거나 수정하지 마세요.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Orange</author>
  </authors>
  <commentList>
    <comment ref="B2" authorId="0" shapeId="0" xr:uid="{D889FCA6-0BC4-40CC-BB9B-9E79D2EE149D}">
      <text>
        <r>
          <rPr>
            <b/>
            <sz val="9"/>
            <color indexed="81"/>
            <rFont val="굴림"/>
            <family val="3"/>
            <charset val="129"/>
          </rPr>
          <t>색칠된 부분은 자동으로 계산됩니다.
수식을 지우거나 수정하지 마세요.</t>
        </r>
      </text>
    </comment>
  </commentList>
</comments>
</file>

<file path=xl/sharedStrings.xml><?xml version="1.0" encoding="utf-8"?>
<sst xmlns="http://schemas.openxmlformats.org/spreadsheetml/2006/main" count="60" uniqueCount="53">
  <si>
    <t>납 품 서</t>
    <phoneticPr fontId="2" type="noConversion"/>
  </si>
  <si>
    <t>공급일자</t>
    <phoneticPr fontId="2" type="noConversion"/>
  </si>
  <si>
    <t>공급자</t>
    <phoneticPr fontId="2" type="noConversion"/>
  </si>
  <si>
    <t>상    호 
(법인명)</t>
    <phoneticPr fontId="2" type="noConversion"/>
  </si>
  <si>
    <t>하비 브라운    (인)</t>
    <phoneticPr fontId="2" type="noConversion"/>
  </si>
  <si>
    <t>사업자등록번호</t>
    <phoneticPr fontId="2" type="noConversion"/>
  </si>
  <si>
    <t>849-63-00642</t>
    <phoneticPr fontId="2" type="noConversion"/>
  </si>
  <si>
    <t>연락처</t>
    <phoneticPr fontId="2" type="noConversion"/>
  </si>
  <si>
    <t>010-4874-8419</t>
    <phoneticPr fontId="2" type="noConversion"/>
  </si>
  <si>
    <t>NO</t>
    <phoneticPr fontId="2" type="noConversion"/>
  </si>
  <si>
    <t>품  명</t>
    <phoneticPr fontId="2" type="noConversion"/>
  </si>
  <si>
    <t>규  격</t>
    <phoneticPr fontId="2" type="noConversion"/>
  </si>
  <si>
    <t>수량</t>
    <phoneticPr fontId="2" type="noConversion"/>
  </si>
  <si>
    <t>단위</t>
    <phoneticPr fontId="2" type="noConversion"/>
  </si>
  <si>
    <t>단가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</si>
  <si>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</si>
  <si>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</si>
  <si>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</si>
  <si>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비고</t>
    <phoneticPr fontId="2" type="noConversion"/>
  </si>
  <si>
    <t>우드펜 각인상품</t>
    <phoneticPr fontId="2" type="noConversion"/>
  </si>
  <si>
    <t>0.5mm</t>
    <phoneticPr fontId="2" type="noConversion"/>
  </si>
  <si>
    <t>우드펜 로고 각인상품</t>
    <phoneticPr fontId="2" type="noConversion"/>
  </si>
  <si>
    <t>독일 슈나이더 리필심</t>
    <phoneticPr fontId="2" type="noConversion"/>
  </si>
  <si>
    <t>개별포장</t>
    <phoneticPr fontId="2" type="noConversion"/>
  </si>
  <si>
    <t>총합계금액</t>
  </si>
  <si>
    <t>납  품  일</t>
    <phoneticPr fontId="2" type="noConversion"/>
  </si>
  <si>
    <t>사 업 장 소 재 지</t>
    <phoneticPr fontId="2" type="noConversion"/>
  </si>
  <si>
    <t xml:space="preserve"> 거래처명</t>
  </si>
  <si>
    <t>**상기의 내용과 같이 납품을 실시하였음을 확인합니다.</t>
    <phoneticPr fontId="2" type="noConversion"/>
  </si>
  <si>
    <t xml:space="preserve">공급받는자 : </t>
    <phoneticPr fontId="2" type="noConversion"/>
  </si>
  <si>
    <t>상 호 명</t>
    <phoneticPr fontId="2" type="noConversion"/>
  </si>
  <si>
    <t>거래처명</t>
  </si>
  <si>
    <t xml:space="preserve"> </t>
    <phoneticPr fontId="2" type="noConversion"/>
  </si>
  <si>
    <t>제 품 납 품 서</t>
    <phoneticPr fontId="2" type="noConversion"/>
  </si>
  <si>
    <t>고객 성명</t>
    <phoneticPr fontId="2" type="noConversion"/>
  </si>
  <si>
    <t>전화번호</t>
    <phoneticPr fontId="2" type="noConversion"/>
  </si>
  <si>
    <t>주       소</t>
    <phoneticPr fontId="2" type="noConversion"/>
  </si>
  <si>
    <t>문의제품</t>
    <phoneticPr fontId="2" type="noConversion"/>
  </si>
  <si>
    <t>상담 사항</t>
    <phoneticPr fontId="2" type="noConversion"/>
  </si>
  <si>
    <t>품      명</t>
    <phoneticPr fontId="2" type="noConversion"/>
  </si>
  <si>
    <t>규격</t>
    <phoneticPr fontId="2" type="noConversion"/>
  </si>
  <si>
    <t>합계금액</t>
    <phoneticPr fontId="2" type="noConversion"/>
  </si>
  <si>
    <t>결제
방법</t>
    <phoneticPr fontId="2" type="noConversion"/>
  </si>
  <si>
    <t>현금</t>
    <phoneticPr fontId="2" type="noConversion"/>
  </si>
  <si>
    <t>납품예정일</t>
    <phoneticPr fontId="2" type="noConversion"/>
  </si>
  <si>
    <t>카드</t>
    <phoneticPr fontId="2" type="noConversion"/>
  </si>
  <si>
    <t>납품일</t>
    <phoneticPr fontId="2" type="noConversion"/>
  </si>
  <si>
    <t>신용</t>
    <phoneticPr fontId="2" type="noConversion"/>
  </si>
  <si>
    <t>결제일</t>
    <phoneticPr fontId="2" type="noConversion"/>
  </si>
  <si>
    <t>어음</t>
    <phoneticPr fontId="2" type="noConversion"/>
  </si>
  <si>
    <t>결제자</t>
    <phoneticPr fontId="2" type="noConversion"/>
  </si>
  <si>
    <t>기타</t>
    <phoneticPr fontId="2" type="noConversion"/>
  </si>
  <si>
    <t>※ 약도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</si>
</sst>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yy&quot;년&quot;\ m&quot;월&quot;\ d&quot;일&quot;;@"/>
    <numFmt numFmtId="177" formatCode="\(&quot;₩&quot;\ #,##0\)"/>
    <numFmt numFmtId="178" formatCode="[$-412]General\ &quot;원&quot;"/>
    <numFmt numFmtId="179" formatCode="yyyy&quot;년&quot;\ m&quot;월&quot;\ d&quot;일&quot;\ \(aaaa\)"/>
    <numFmt numFmtId="180" formatCode="mm&quot;월&quot;\ dd&quot;일&quot;"/>
    <numFmt numFmtId="181" formatCode="#,##0_ "/>
    <numFmt numFmtId="182" formatCode="0.000"/>
    <numFmt numFmtId="183" formatCode="_ * #,##0.0000_ ;_ * \-#,##0.0000_ ;_ * &quot;-&quot;_ ;_ @_ "/>
    <numFmt numFmtId="184" formatCode="_ &quot;₩&quot;* #,##0.00_ ;_ &quot;₩&quot;* &quot;₩&quot;&quot;₩&quot;&quot;₩&quot;&quot;₩&quot;&quot;₩&quot;&quot;₩&quot;&quot;₩&quot;&quot;₩&quot;\-#,##0.00_ ;_ &quot;₩&quot;* &quot;-&quot;??_ ;_ @_ "/>
    <numFmt numFmtId="185" formatCode="&quot;₩&quot;&quot;₩&quot;&quot;₩&quot;&quot;₩&quot;&quot;₩&quot;&quot;₩&quot;&quot;₩&quot;&quot;₩&quot;\$#,##0_);&quot;₩&quot;&quot;₩&quot;&quot;₩&quot;&quot;₩&quot;&quot;₩&quot;&quot;₩&quot;&quot;₩&quot;&quot;₩&quot;\(&quot;₩&quot;&quot;₩&quot;&quot;₩&quot;&quot;₩&quot;&quot;₩&quot;&quot;₩&quot;&quot;₩&quot;&quot;₩&quot;\$#,##0&quot;₩&quot;&quot;₩&quot;&quot;₩&quot;&quot;₩&quot;&quot;₩&quot;&quot;₩&quot;&quot;₩&quot;&quot;₩&quot;\)"/>
    <numFmt numFmtId="186" formatCode="#,##0.00_ "/>
  </numFmts>
  <fonts count="5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sz val="11"/>
      <name val="바탕체"/>
      <family val="1"/>
      <charset val="129"/>
    </font>
    <font>
      <b/>
      <sz val="9"/>
      <color indexed="81"/>
      <name val="굴림"/>
      <family val="3"/>
      <charset val="129"/>
    </font>
    <font>
      <sz val="9"/>
      <name val="바탕체"/>
      <family val="1"/>
      <charset val="129"/>
    </font>
    <font>
      <sz val="12"/>
      <name val="바탕체"/>
      <family val="1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2"/>
      <name val="굴림"/>
      <family val="3"/>
      <charset val="129"/>
    </font>
    <font>
      <b/>
      <sz val="22"/>
      <name val="돋움"/>
      <family val="3"/>
      <charset val="129"/>
    </font>
    <font>
      <sz val="10"/>
      <name val="굴림체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7"/>
      <name val="Small Fonts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u/>
      <sz val="9"/>
      <color indexed="36"/>
      <name val="돋움"/>
      <family val="3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9"/>
      <name val="굴림체"/>
      <family val="3"/>
      <charset val="129"/>
    </font>
    <font>
      <sz val="11"/>
      <name val="나눔고딕"/>
      <family val="3"/>
      <charset val="129"/>
    </font>
    <font>
      <sz val="11"/>
      <color indexed="9"/>
      <name val="나눔고딕"/>
      <family val="3"/>
      <charset val="129"/>
    </font>
    <font>
      <sz val="11"/>
      <color indexed="10"/>
      <name val="나눔고딕"/>
      <family val="3"/>
      <charset val="129"/>
    </font>
    <font>
      <b/>
      <sz val="11"/>
      <color indexed="9"/>
      <name val="나눔고딕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나눔고딕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rgb="FFFA7D00"/>
      <name val="나눔고딕"/>
      <family val="3"/>
      <charset val="129"/>
    </font>
    <font>
      <sz val="11"/>
      <color rgb="FF9C0006"/>
      <name val="나눔고딕"/>
      <family val="3"/>
      <charset val="129"/>
    </font>
    <font>
      <sz val="11"/>
      <color rgb="FF9C6500"/>
      <name val="나눔고딕"/>
      <family val="3"/>
      <charset val="129"/>
    </font>
    <font>
      <i/>
      <sz val="11"/>
      <color rgb="FF7F7F7F"/>
      <name val="나눔고딕"/>
      <family val="3"/>
      <charset val="129"/>
    </font>
    <font>
      <sz val="11"/>
      <color rgb="FFFA7D00"/>
      <name val="나눔고딕"/>
      <family val="3"/>
      <charset val="129"/>
    </font>
    <font>
      <sz val="11"/>
      <color rgb="FF3F3F76"/>
      <name val="나눔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나눔고딕"/>
      <family val="3"/>
      <charset val="129"/>
    </font>
    <font>
      <b/>
      <sz val="13"/>
      <color rgb="FF1F497D"/>
      <name val="나눔고딕"/>
      <family val="3"/>
      <charset val="129"/>
    </font>
    <font>
      <b/>
      <sz val="11"/>
      <color rgb="FF1F497D"/>
      <name val="나눔고딕"/>
      <family val="3"/>
      <charset val="129"/>
    </font>
    <font>
      <sz val="11"/>
      <color rgb="FF006100"/>
      <name val="나눔고딕"/>
      <family val="3"/>
      <charset val="129"/>
    </font>
    <font>
      <b/>
      <sz val="11"/>
      <color rgb="FF3F3F3F"/>
      <name val="나눔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</borders>
  <cellStyleXfs count="113">
    <xf numFmtId="0" fontId="0" fillId="0" borderId="0">
      <alignment vertical="center"/>
    </xf>
    <xf numFmtId="0" fontId="18" fillId="0" borderId="0"/>
    <xf numFmtId="0" fontId="9" fillId="0" borderId="0"/>
    <xf numFmtId="0" fontId="19" fillId="0" borderId="0"/>
    <xf numFmtId="0" fontId="20" fillId="0" borderId="0">
      <alignment horizontal="center" vertical="center"/>
    </xf>
    <xf numFmtId="41" fontId="9" fillId="0" borderId="0">
      <alignment horizontal="center" vertical="center"/>
    </xf>
    <xf numFmtId="182" fontId="21" fillId="0" borderId="0">
      <alignment horizontal="center"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3" fillId="0" borderId="0"/>
    <xf numFmtId="183" fontId="1" fillId="0" borderId="0"/>
    <xf numFmtId="184" fontId="1" fillId="0" borderId="0"/>
    <xf numFmtId="185" fontId="1" fillId="0" borderId="0"/>
    <xf numFmtId="38" fontId="24" fillId="4" borderId="0" applyNumberFormat="0" applyBorder="0" applyAlignment="0" applyProtection="0"/>
    <xf numFmtId="0" fontId="25" fillId="0" borderId="0">
      <alignment horizontal="left"/>
    </xf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10" fontId="24" fillId="5" borderId="3" applyNumberFormat="0" applyBorder="0" applyAlignment="0" applyProtection="0"/>
    <xf numFmtId="0" fontId="27" fillId="0" borderId="4"/>
    <xf numFmtId="37" fontId="28" fillId="0" borderId="0"/>
    <xf numFmtId="181" fontId="9" fillId="0" borderId="0"/>
    <xf numFmtId="10" fontId="18" fillId="0" borderId="0" applyFont="0" applyFill="0" applyBorder="0" applyAlignment="0" applyProtection="0"/>
    <xf numFmtId="0" fontId="27" fillId="0" borderId="0"/>
    <xf numFmtId="0" fontId="29" fillId="0" borderId="0" applyFill="0" applyBorder="0" applyProtection="0">
      <alignment horizontal="centerContinuous" vertical="center"/>
    </xf>
    <xf numFmtId="0" fontId="30" fillId="2" borderId="0" applyFill="0" applyBorder="0" applyProtection="0">
      <alignment horizontal="center"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30" borderId="55" applyNumberFormat="0" applyAlignment="0" applyProtection="0">
      <alignment vertical="center"/>
    </xf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180" fontId="9" fillId="0" borderId="0"/>
    <xf numFmtId="0" fontId="43" fillId="3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5" fillId="5" borderId="56" applyNumberFormat="0" applyFont="0" applyAlignment="0" applyProtection="0">
      <alignment vertical="center"/>
    </xf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9" fontId="20" fillId="2" borderId="0" applyFill="0" applyBorder="0" applyProtection="0">
      <alignment horizontal="right"/>
    </xf>
    <xf numFmtId="10" fontId="20" fillId="0" borderId="0" applyFill="0" applyBorder="0" applyProtection="0">
      <alignment horizontal="right"/>
    </xf>
    <xf numFmtId="0" fontId="44" fillId="32" borderId="0" applyNumberFormat="0" applyBorder="0" applyAlignment="0" applyProtection="0">
      <alignment vertical="center"/>
    </xf>
    <xf numFmtId="0" fontId="33" fillId="0" borderId="0"/>
    <xf numFmtId="0" fontId="45" fillId="0" borderId="0" applyNumberFormat="0" applyFill="0" applyBorder="0" applyAlignment="0" applyProtection="0">
      <alignment vertical="center"/>
    </xf>
    <xf numFmtId="0" fontId="38" fillId="33" borderId="57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34" fillId="0" borderId="0" applyFont="0" applyFill="0" applyBorder="0" applyAlignment="0" applyProtection="0"/>
    <xf numFmtId="0" fontId="18" fillId="0" borderId="0"/>
    <xf numFmtId="0" fontId="46" fillId="0" borderId="58" applyNumberFormat="0" applyFill="0" applyAlignment="0" applyProtection="0">
      <alignment vertical="center"/>
    </xf>
    <xf numFmtId="0" fontId="40" fillId="0" borderId="60" applyNumberFormat="0" applyFill="0" applyAlignment="0" applyProtection="0">
      <alignment vertical="center"/>
    </xf>
    <xf numFmtId="0" fontId="47" fillId="3" borderId="55" applyNumberFormat="0" applyAlignment="0" applyProtection="0">
      <alignment vertical="center"/>
    </xf>
    <xf numFmtId="0" fontId="49" fillId="0" borderId="61" applyNumberFormat="0" applyFill="0" applyAlignment="0" applyProtection="0">
      <alignment vertical="center"/>
    </xf>
    <xf numFmtId="0" fontId="50" fillId="0" borderId="62" applyNumberFormat="0" applyFill="0" applyAlignment="0" applyProtection="0">
      <alignment vertical="center"/>
    </xf>
    <xf numFmtId="0" fontId="51" fillId="0" borderId="6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0" borderId="59" applyNumberFormat="0" applyAlignment="0" applyProtection="0">
      <alignment vertical="center"/>
    </xf>
    <xf numFmtId="41" fontId="1" fillId="0" borderId="0" applyFont="0" applyFill="0" applyBorder="0" applyAlignment="0" applyProtection="0"/>
    <xf numFmtId="186" fontId="20" fillId="2" borderId="0" applyFill="0" applyBorder="0" applyProtection="0">
      <alignment horizontal="right"/>
    </xf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39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0" fontId="1" fillId="0" borderId="0"/>
    <xf numFmtId="0" fontId="9" fillId="0" borderId="0"/>
    <xf numFmtId="0" fontId="1" fillId="0" borderId="0">
      <alignment vertical="center"/>
    </xf>
    <xf numFmtId="0" fontId="1" fillId="0" borderId="0"/>
    <xf numFmtId="0" fontId="35" fillId="0" borderId="0">
      <alignment vertical="center"/>
    </xf>
  </cellStyleXfs>
  <cellXfs count="14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5" xfId="0" applyFont="1" applyBorder="1" applyAlignment="1">
      <alignment horizontal="distributed" vertical="center"/>
    </xf>
    <xf numFmtId="0" fontId="4" fillId="0" borderId="6" xfId="0" applyFont="1" applyBorder="1" applyAlignment="1">
      <alignment horizontal="distributed" vertical="center"/>
    </xf>
    <xf numFmtId="0" fontId="4" fillId="0" borderId="7" xfId="0" applyFont="1" applyBorder="1" applyAlignment="1">
      <alignment horizontal="distributed" vertical="center"/>
    </xf>
    <xf numFmtId="0" fontId="4" fillId="0" borderId="9" xfId="0" applyFont="1" applyBorder="1" applyAlignment="1">
      <alignment horizontal="center" vertical="center"/>
    </xf>
    <xf numFmtId="41" fontId="4" fillId="5" borderId="3" xfId="79" applyFont="1" applyFill="1" applyBorder="1">
      <alignment vertical="center"/>
    </xf>
    <xf numFmtId="41" fontId="4" fillId="5" borderId="10" xfId="79" applyFont="1" applyFill="1" applyBorder="1">
      <alignment vertical="center"/>
    </xf>
    <xf numFmtId="0" fontId="6" fillId="0" borderId="11" xfId="0" applyFont="1" applyFill="1" applyBorder="1" applyAlignment="1">
      <alignment horizontal="center" vertical="center"/>
    </xf>
    <xf numFmtId="41" fontId="4" fillId="0" borderId="3" xfId="79" applyFont="1" applyBorder="1" applyProtection="1">
      <alignment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41" fontId="4" fillId="0" borderId="10" xfId="79" applyFont="1" applyBorder="1" applyProtection="1">
      <alignment vertical="center"/>
      <protection locked="0"/>
    </xf>
    <xf numFmtId="0" fontId="4" fillId="0" borderId="12" xfId="0" applyFont="1" applyBorder="1" applyProtection="1">
      <alignment vertical="center"/>
      <protection locked="0"/>
    </xf>
    <xf numFmtId="0" fontId="4" fillId="0" borderId="13" xfId="0" applyFont="1" applyBorder="1" applyProtection="1">
      <alignment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Protection="1">
      <alignment vertical="center"/>
      <protection locked="0"/>
    </xf>
    <xf numFmtId="0" fontId="4" fillId="0" borderId="16" xfId="0" applyFont="1" applyBorder="1" applyProtection="1">
      <alignment vertical="center"/>
      <protection locked="0"/>
    </xf>
    <xf numFmtId="0" fontId="4" fillId="0" borderId="17" xfId="0" applyFont="1" applyBorder="1" applyProtection="1">
      <alignment vertical="center"/>
      <protection locked="0"/>
    </xf>
    <xf numFmtId="0" fontId="4" fillId="0" borderId="4" xfId="0" applyFont="1" applyBorder="1" applyProtection="1">
      <alignment vertical="center"/>
      <protection locked="0"/>
    </xf>
    <xf numFmtId="0" fontId="4" fillId="0" borderId="18" xfId="0" applyFont="1" applyBorder="1" applyProtection="1">
      <alignment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10" fillId="0" borderId="4" xfId="0" applyFont="1" applyBorder="1" applyProtection="1">
      <alignment vertical="center"/>
      <protection locked="0"/>
    </xf>
    <xf numFmtId="0" fontId="10" fillId="0" borderId="18" xfId="0" applyFont="1" applyBorder="1" applyProtection="1">
      <alignment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2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4" xfId="0" applyFont="1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24" xfId="0" applyFont="1" applyBorder="1" applyAlignment="1">
      <alignment horizontal="center" vertical="center" wrapText="1"/>
    </xf>
    <xf numFmtId="0" fontId="11" fillId="0" borderId="25" xfId="0" applyFont="1" applyBorder="1" applyProtection="1">
      <alignment vertical="center"/>
      <protection locked="0"/>
    </xf>
    <xf numFmtId="0" fontId="11" fillId="0" borderId="12" xfId="0" applyFont="1" applyBorder="1" applyProtection="1">
      <alignment vertical="center"/>
      <protection locked="0"/>
    </xf>
    <xf numFmtId="0" fontId="11" fillId="0" borderId="26" xfId="0" applyFont="1" applyBorder="1" applyProtection="1">
      <alignment vertical="center"/>
      <protection locked="0"/>
    </xf>
    <xf numFmtId="0" fontId="11" fillId="0" borderId="27" xfId="0" applyFont="1" applyBorder="1" applyProtection="1">
      <alignment vertical="center"/>
      <protection locked="0"/>
    </xf>
    <xf numFmtId="41" fontId="16" fillId="0" borderId="28" xfId="81" applyNumberFormat="1" applyFont="1" applyBorder="1" applyAlignment="1">
      <alignment horizontal="center" vertical="center"/>
    </xf>
    <xf numFmtId="41" fontId="10" fillId="0" borderId="3" xfId="79" applyFont="1" applyBorder="1" applyAlignment="1" applyProtection="1">
      <alignment horizontal="center" vertical="center"/>
      <protection locked="0"/>
    </xf>
    <xf numFmtId="41" fontId="10" fillId="0" borderId="29" xfId="79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41" fontId="10" fillId="0" borderId="30" xfId="79" applyFont="1" applyBorder="1" applyProtection="1">
      <alignment vertical="center"/>
      <protection locked="0"/>
    </xf>
    <xf numFmtId="41" fontId="10" fillId="5" borderId="30" xfId="79" applyFont="1" applyFill="1" applyBorder="1">
      <alignment vertical="center"/>
    </xf>
    <xf numFmtId="41" fontId="10" fillId="5" borderId="31" xfId="79" applyFont="1" applyFill="1" applyBorder="1">
      <alignment vertical="center"/>
    </xf>
    <xf numFmtId="41" fontId="10" fillId="0" borderId="3" xfId="79" applyFont="1" applyBorder="1" applyProtection="1">
      <alignment vertical="center"/>
      <protection locked="0"/>
    </xf>
    <xf numFmtId="41" fontId="10" fillId="5" borderId="3" xfId="79" applyFont="1" applyFill="1" applyBorder="1">
      <alignment vertical="center"/>
    </xf>
    <xf numFmtId="41" fontId="10" fillId="0" borderId="29" xfId="79" applyFont="1" applyBorder="1" applyProtection="1">
      <alignment vertical="center"/>
      <protection locked="0"/>
    </xf>
    <xf numFmtId="41" fontId="10" fillId="5" borderId="29" xfId="79" applyFont="1" applyFill="1" applyBorder="1">
      <alignment vertical="center"/>
    </xf>
    <xf numFmtId="41" fontId="10" fillId="5" borderId="32" xfId="79" applyFont="1" applyFill="1" applyBorder="1">
      <alignment vertical="center"/>
    </xf>
    <xf numFmtId="0" fontId="0" fillId="0" borderId="0" xfId="0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1" fillId="0" borderId="34" xfId="0" applyFont="1" applyFill="1" applyBorder="1" applyAlignment="1">
      <alignment horizontal="center" vertical="center"/>
    </xf>
    <xf numFmtId="0" fontId="11" fillId="0" borderId="35" xfId="0" applyFont="1" applyBorder="1" applyAlignment="1" applyProtection="1">
      <alignment horizontal="center" vertical="center"/>
      <protection locked="0"/>
    </xf>
    <xf numFmtId="0" fontId="11" fillId="0" borderId="36" xfId="0" applyFont="1" applyBorder="1" applyAlignment="1" applyProtection="1">
      <alignment horizontal="center" vertical="center"/>
      <protection locked="0"/>
    </xf>
    <xf numFmtId="0" fontId="11" fillId="0" borderId="37" xfId="0" applyFont="1" applyBorder="1" applyAlignment="1" applyProtection="1">
      <alignment horizontal="center" vertical="center"/>
      <protection locked="0"/>
    </xf>
    <xf numFmtId="0" fontId="10" fillId="0" borderId="38" xfId="0" applyFont="1" applyBorder="1" applyAlignment="1">
      <alignment horizontal="center" vertical="center" wrapText="1"/>
    </xf>
    <xf numFmtId="0" fontId="13" fillId="0" borderId="0" xfId="0" applyFont="1" applyBorder="1" applyAlignment="1" applyProtection="1">
      <alignment horizontal="right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1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0" borderId="39" xfId="0" applyFont="1" applyBorder="1" applyAlignment="1" applyProtection="1">
      <alignment horizontal="center" vertical="center"/>
      <protection locked="0"/>
    </xf>
    <xf numFmtId="0" fontId="10" fillId="0" borderId="40" xfId="0" applyFont="1" applyBorder="1" applyAlignment="1" applyProtection="1">
      <alignment horizontal="center" vertical="center"/>
      <protection locked="0"/>
    </xf>
    <xf numFmtId="41" fontId="10" fillId="5" borderId="39" xfId="79" applyFont="1" applyFill="1" applyBorder="1" applyAlignment="1">
      <alignment horizontal="center" vertical="center"/>
    </xf>
    <xf numFmtId="41" fontId="10" fillId="5" borderId="40" xfId="79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2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47" xfId="0" applyFont="1" applyBorder="1" applyAlignment="1" applyProtection="1">
      <alignment horizontal="center" vertical="center"/>
      <protection locked="0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23" xfId="0" applyFont="1" applyBorder="1" applyAlignment="1" applyProtection="1">
      <alignment horizontal="center" vertical="center"/>
      <protection locked="0"/>
    </xf>
    <xf numFmtId="41" fontId="10" fillId="5" borderId="44" xfId="79" applyFont="1" applyFill="1" applyBorder="1" applyAlignment="1">
      <alignment horizontal="center" vertical="center"/>
    </xf>
    <xf numFmtId="41" fontId="10" fillId="5" borderId="23" xfId="79" applyFont="1" applyFill="1" applyBorder="1" applyAlignment="1">
      <alignment horizontal="center" vertical="center"/>
    </xf>
    <xf numFmtId="41" fontId="10" fillId="5" borderId="31" xfId="79" applyFont="1" applyFill="1" applyBorder="1" applyAlignment="1">
      <alignment horizontal="center" vertical="center"/>
    </xf>
    <xf numFmtId="41" fontId="10" fillId="5" borderId="41" xfId="79" applyFont="1" applyFill="1" applyBorder="1" applyAlignment="1">
      <alignment horizontal="center" vertical="center"/>
    </xf>
    <xf numFmtId="41" fontId="10" fillId="5" borderId="45" xfId="79" applyFont="1" applyFill="1" applyBorder="1" applyAlignment="1">
      <alignment horizontal="center" vertical="center"/>
    </xf>
    <xf numFmtId="41" fontId="10" fillId="5" borderId="46" xfId="79" applyFont="1" applyFill="1" applyBorder="1" applyAlignment="1">
      <alignment horizontal="center" vertical="center"/>
    </xf>
    <xf numFmtId="41" fontId="10" fillId="5" borderId="50" xfId="79" applyFont="1" applyFill="1" applyBorder="1" applyAlignment="1">
      <alignment horizontal="center" vertical="center"/>
    </xf>
    <xf numFmtId="41" fontId="10" fillId="5" borderId="51" xfId="79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176" fontId="13" fillId="0" borderId="0" xfId="0" applyNumberFormat="1" applyFont="1" applyBorder="1" applyAlignment="1" applyProtection="1">
      <alignment horizontal="center" vertical="center"/>
      <protection locked="0"/>
    </xf>
    <xf numFmtId="176" fontId="12" fillId="0" borderId="34" xfId="0" applyNumberFormat="1" applyFont="1" applyBorder="1" applyAlignment="1" applyProtection="1">
      <alignment horizontal="center" vertical="center" wrapText="1"/>
      <protection locked="0"/>
    </xf>
    <xf numFmtId="176" fontId="12" fillId="0" borderId="47" xfId="0" applyNumberFormat="1" applyFont="1" applyBorder="1" applyAlignment="1" applyProtection="1">
      <alignment horizontal="center" vertical="center" wrapText="1"/>
      <protection locked="0"/>
    </xf>
    <xf numFmtId="176" fontId="12" fillId="0" borderId="1" xfId="0" applyNumberFormat="1" applyFont="1" applyBorder="1" applyAlignment="1" applyProtection="1">
      <alignment horizontal="center" vertical="center"/>
      <protection locked="0"/>
    </xf>
    <xf numFmtId="176" fontId="12" fillId="0" borderId="47" xfId="0" applyNumberFormat="1" applyFont="1" applyBorder="1" applyAlignment="1" applyProtection="1">
      <alignment horizontal="center" vertical="center"/>
      <protection locked="0"/>
    </xf>
    <xf numFmtId="0" fontId="10" fillId="0" borderId="48" xfId="0" applyFont="1" applyBorder="1" applyAlignment="1" applyProtection="1">
      <alignment horizontal="center" vertical="center"/>
      <protection locked="0"/>
    </xf>
    <xf numFmtId="0" fontId="10" fillId="0" borderId="49" xfId="0" applyFont="1" applyBorder="1" applyAlignment="1" applyProtection="1">
      <alignment horizontal="center" vertical="center"/>
      <protection locked="0"/>
    </xf>
    <xf numFmtId="0" fontId="12" fillId="0" borderId="34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center" vertical="center"/>
      <protection locked="0"/>
    </xf>
    <xf numFmtId="176" fontId="12" fillId="0" borderId="34" xfId="0" applyNumberFormat="1" applyFont="1" applyBorder="1" applyAlignment="1" applyProtection="1">
      <alignment horizontal="center" vertical="center"/>
      <protection locked="0"/>
    </xf>
    <xf numFmtId="176" fontId="4" fillId="0" borderId="3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78" fontId="4" fillId="5" borderId="9" xfId="0" applyNumberFormat="1" applyFont="1" applyFill="1" applyBorder="1" applyAlignment="1">
      <alignment horizontal="right" vertical="center"/>
    </xf>
    <xf numFmtId="177" fontId="4" fillId="5" borderId="9" xfId="0" applyNumberFormat="1" applyFont="1" applyFill="1" applyBorder="1" applyAlignment="1">
      <alignment horizontal="left" vertical="center" indent="1"/>
    </xf>
    <xf numFmtId="0" fontId="4" fillId="0" borderId="52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41" fontId="4" fillId="5" borderId="44" xfId="79" applyFont="1" applyFill="1" applyBorder="1" applyAlignment="1">
      <alignment horizontal="center" vertical="center"/>
    </xf>
    <xf numFmtId="41" fontId="4" fillId="5" borderId="23" xfId="79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53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indent="1"/>
      <protection locked="0"/>
    </xf>
    <xf numFmtId="0" fontId="4" fillId="0" borderId="3" xfId="0" applyFont="1" applyBorder="1" applyAlignment="1" applyProtection="1">
      <alignment horizontal="left" vertical="center" indent="1"/>
      <protection locked="0"/>
    </xf>
    <xf numFmtId="0" fontId="4" fillId="0" borderId="54" xfId="0" applyFont="1" applyBorder="1" applyAlignment="1" applyProtection="1">
      <alignment horizontal="left" vertical="center" indent="1"/>
      <protection locked="0"/>
    </xf>
    <xf numFmtId="0" fontId="4" fillId="0" borderId="10" xfId="0" applyFont="1" applyBorder="1" applyAlignment="1" applyProtection="1">
      <alignment horizontal="left" vertical="center" indent="1"/>
      <protection locked="0"/>
    </xf>
    <xf numFmtId="179" fontId="4" fillId="0" borderId="4" xfId="0" applyNumberFormat="1" applyFont="1" applyBorder="1" applyAlignment="1">
      <alignment horizontal="center" vertical="center"/>
    </xf>
    <xf numFmtId="41" fontId="4" fillId="5" borderId="42" xfId="79" applyFont="1" applyFill="1" applyBorder="1" applyAlignment="1">
      <alignment horizontal="center" vertical="center"/>
    </xf>
    <xf numFmtId="41" fontId="4" fillId="5" borderId="43" xfId="79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left" vertical="center" indent="1"/>
      <protection locked="0"/>
    </xf>
    <xf numFmtId="0" fontId="8" fillId="0" borderId="3" xfId="0" applyFont="1" applyBorder="1" applyAlignment="1" applyProtection="1">
      <alignment horizontal="left" vertical="center" indent="1"/>
      <protection locked="0"/>
    </xf>
  </cellXfs>
  <cellStyles count="113">
    <cellStyle name="_x0014_" xfId="1" xr:uid="{86C8F22A-1A0F-4D1B-B490-FC4FFE714531}"/>
    <cellStyle name="??&amp;O?&amp;H?_x0008_??_x0007__x0001__x0001_" xfId="2" xr:uid="{4B555714-6068-468C-B6FA-766CC6C3345C}"/>
    <cellStyle name="¤@?e_TEST-1 " xfId="3" xr:uid="{F37C9798-17CD-4BD9-BB3F-BB8FC1B0971A}"/>
    <cellStyle name="1" xfId="4" xr:uid="{F617E30A-6569-4620-A578-1B204052B44A}"/>
    <cellStyle name="1_시민계략공사" xfId="5" xr:uid="{8BB9CAC6-5121-4427-A4EB-B3172A2083DA}"/>
    <cellStyle name="1_시민계략공사_전기-한남" xfId="6" xr:uid="{40404D66-EE8F-4FEF-9A2E-73AE68BD05EB}"/>
    <cellStyle name="20% - 강조색1 2" xfId="7" xr:uid="{7863EF20-33D5-41CA-99BF-A402BD89DDD1}"/>
    <cellStyle name="20% - 강조색2 2" xfId="8" xr:uid="{D5AD592E-B979-41C6-9F10-293590F1C4D2}"/>
    <cellStyle name="20% - 강조색3 2" xfId="9" xr:uid="{C9F948A5-75C6-4C9C-8727-73FAC19590A2}"/>
    <cellStyle name="20% - 강조색4 2" xfId="10" xr:uid="{8CB66DE2-D92D-4478-94B3-385E7723EF94}"/>
    <cellStyle name="20% - 강조색5 2" xfId="11" xr:uid="{2B6D12DA-590B-4F37-9756-D8C7D32DD26E}"/>
    <cellStyle name="20% - 강조색6 2" xfId="12" xr:uid="{C4DF785B-5771-4C17-B67B-04159EF47699}"/>
    <cellStyle name="40% - 강조색1 2" xfId="13" xr:uid="{793E1715-7B3F-42EE-8077-FB3970DFE6E0}"/>
    <cellStyle name="40% - 강조색2 2" xfId="14" xr:uid="{4A2391FD-87B8-45FF-936A-83A8D2A711F2}"/>
    <cellStyle name="40% - 강조색3 2" xfId="15" xr:uid="{FDF62B5D-7780-494D-B2D0-960A4DA83CA8}"/>
    <cellStyle name="40% - 강조색4 2" xfId="16" xr:uid="{76CDE9A8-FA39-423E-AEA2-98B776B693E7}"/>
    <cellStyle name="40% - 강조색5 2" xfId="17" xr:uid="{6B701BEC-A6FD-4D66-8352-DDD48BE2C30B}"/>
    <cellStyle name="40% - 강조색6 2" xfId="18" xr:uid="{01E30A1C-EA23-4B78-B4B1-B6BD1FBA89D9}"/>
    <cellStyle name="60% - 강조색1 2" xfId="19" xr:uid="{FC9961CF-C9BD-48BE-BC02-8E29F2110DD4}"/>
    <cellStyle name="60% - 강조색2 2" xfId="20" xr:uid="{7AE0C079-95FC-4FA2-B4B7-2150C604B958}"/>
    <cellStyle name="60% - 강조색3 2" xfId="21" xr:uid="{97F5CE3C-2A97-4395-A858-5F249F2A23D3}"/>
    <cellStyle name="60% - 강조색4 2" xfId="22" xr:uid="{C054CC3D-A1B7-4CB4-9974-400224FECA02}"/>
    <cellStyle name="60% - 강조색5 2" xfId="23" xr:uid="{37E4F4FC-7254-48E2-91FC-934B5E036C6B}"/>
    <cellStyle name="60% - 강조색6 2" xfId="24" xr:uid="{FA77CFE8-2695-4BBC-9F64-097CB41A0A98}"/>
    <cellStyle name="AeE­ [0]_INQUIRY ¿μ¾÷AßAø " xfId="25" xr:uid="{A80B0C4D-91B0-424A-A164-62CFB14B3885}"/>
    <cellStyle name="AeE­_INQUIRY ¿μ¾÷AßAø " xfId="26" xr:uid="{E66DDFB5-9883-4BDF-BA8D-1735D8CD5008}"/>
    <cellStyle name="ALIGNMENT" xfId="27" xr:uid="{762B51BD-75CD-41DB-994B-F3D401197F56}"/>
    <cellStyle name="AÞ¸¶ [0]_INQUIRY ¿μ¾÷AßAø " xfId="28" xr:uid="{53AF89D6-C872-4BEE-94E1-826E78C75C66}"/>
    <cellStyle name="AÞ¸¶_INQUIRY ¿μ¾÷AßAø " xfId="29" xr:uid="{072C02BA-41C0-4504-985B-498A2318689B}"/>
    <cellStyle name="C￥AØ_¿μ¾÷CoE² " xfId="30" xr:uid="{A837FA4D-8157-421A-9BA8-2EC08099DC25}"/>
    <cellStyle name="category" xfId="31" xr:uid="{F9B09E9C-812D-416A-8214-8660C26B36D8}"/>
    <cellStyle name="comma zerodec" xfId="32" xr:uid="{3927D07F-DAE8-46A9-AF2E-B14980F3F3FD}"/>
    <cellStyle name="Currency1" xfId="33" xr:uid="{6B958F9B-B58A-49B6-8E39-A02D360BD205}"/>
    <cellStyle name="Dollar (zero dec)" xfId="34" xr:uid="{9F943DEB-453E-4B87-8D5B-2E509827A7BC}"/>
    <cellStyle name="Grey" xfId="35" xr:uid="{8841AC62-B761-4852-B915-CA3E080B44E5}"/>
    <cellStyle name="HEADER" xfId="36" xr:uid="{B8824F1F-6981-40D1-83C0-8C7CDB976998}"/>
    <cellStyle name="Header1" xfId="37" xr:uid="{16635FA8-B370-4EAF-B4D1-323E009A421C}"/>
    <cellStyle name="Header2" xfId="38" xr:uid="{32FA6C68-E263-4FA2-B73E-6C3B6151428B}"/>
    <cellStyle name="Input [yellow]" xfId="39" xr:uid="{A9002488-40F2-41E1-8860-217A0AA0EB01}"/>
    <cellStyle name="Model" xfId="40" xr:uid="{41FD2B19-B3B0-4591-AF12-A8EF9A131105}"/>
    <cellStyle name="no dec" xfId="41" xr:uid="{123B0895-886A-4BE1-AD54-D9C7A5A5497E}"/>
    <cellStyle name="Normal - Style1" xfId="42" xr:uid="{FD708B6C-FB2B-4495-A7D3-0D0CA619C852}"/>
    <cellStyle name="Percent [2]" xfId="43" xr:uid="{94329B3D-36F6-48A0-95A6-496EF754BDF1}"/>
    <cellStyle name="subhead" xfId="44" xr:uid="{A6BB7DE8-1C28-47D4-9815-F45BBAA8A04F}"/>
    <cellStyle name="title [1]" xfId="45" xr:uid="{2C26FA35-C05A-4275-81C2-E0D871C38576}"/>
    <cellStyle name="title [2]" xfId="46" xr:uid="{C8CAB946-703C-4B00-A2BC-BC6518D5F451}"/>
    <cellStyle name="강조색1 2" xfId="47" xr:uid="{D78B6B85-653C-42E9-ACAF-D644159118FE}"/>
    <cellStyle name="강조색2 2" xfId="48" xr:uid="{DF236D1F-CDB1-4EAC-B49D-D31698F47870}"/>
    <cellStyle name="강조색3 2" xfId="49" xr:uid="{AD762778-6A52-4B4B-A214-C3838AAC5F55}"/>
    <cellStyle name="강조색4 2" xfId="50" xr:uid="{FCE0682D-EE34-4F07-A7E5-2E8B02B8BA6C}"/>
    <cellStyle name="강조색5 2" xfId="51" xr:uid="{5710BB4F-D204-441A-9D92-85E6D8DB9233}"/>
    <cellStyle name="강조색6 2" xfId="52" xr:uid="{7779F62C-DD92-4525-8E15-BC89A4FBB3BA}"/>
    <cellStyle name="경고문 2" xfId="53" xr:uid="{69EC3C11-3431-4938-9115-99F1DF2FB3F5}"/>
    <cellStyle name="계산 2" xfId="54" xr:uid="{F98E5D1D-BE26-4987-A06B-77E597FC5D0B}"/>
    <cellStyle name="咬訌裝?INCOM1" xfId="55" xr:uid="{4C0E0A52-1B00-47C3-9E4B-30B564FAF2AC}"/>
    <cellStyle name="咬訌裝?INCOM10" xfId="56" xr:uid="{FFC22EF5-A019-4EE2-924A-36FF453F09C1}"/>
    <cellStyle name="咬訌裝?INCOM2" xfId="57" xr:uid="{82A29FCF-4D15-4665-82A3-7F25A2A1161D}"/>
    <cellStyle name="咬訌裝?INCOM3" xfId="58" xr:uid="{97243359-0B0D-481F-B0CB-7FF6D75BEDEB}"/>
    <cellStyle name="咬訌裝?INCOM4" xfId="59" xr:uid="{A758CC12-A316-4273-A8A9-5593A534D05A}"/>
    <cellStyle name="咬訌裝?INCOM5" xfId="60" xr:uid="{69373E6A-CF21-4A76-8AA1-D4A4F0012467}"/>
    <cellStyle name="咬訌裝?INCOM6" xfId="61" xr:uid="{1B0109EE-CBC1-45C3-974B-5D4F87716428}"/>
    <cellStyle name="咬訌裝?INCOM7" xfId="62" xr:uid="{BA48A2A2-0EB4-47A3-B454-05D325AF3C7D}"/>
    <cellStyle name="咬訌裝?INCOM8" xfId="63" xr:uid="{C9F0391D-6225-48A2-8EB2-767F37E44C0F}"/>
    <cellStyle name="咬訌裝?INCOM9" xfId="64" xr:uid="{71738008-9F18-4391-A9E9-8DDDD9DD7EDF}"/>
    <cellStyle name="咬訌裝?PRIB11" xfId="65" xr:uid="{32A939A9-EA8F-414A-86FD-BD64FB387146}"/>
    <cellStyle name="나쁨 2" xfId="66" xr:uid="{FBF7464C-3907-459E-9575-E5A132EDD98B}"/>
    <cellStyle name="뒤에 오는 하이퍼링크_2002년시설사업계" xfId="67" xr:uid="{AC7467A5-E1EF-4C9E-A511-9480C9FBD497}"/>
    <cellStyle name="똿뗦먛귟 [0.00]_PRODUCT DETAIL Q1" xfId="68" xr:uid="{664884DA-0D2B-4C3A-A3EE-4B678DA3F3EB}"/>
    <cellStyle name="똿뗦먛귟_PRODUCT DETAIL Q1" xfId="69" xr:uid="{775D188E-B4E5-4367-9ADC-B6209D6F1849}"/>
    <cellStyle name="메모 2" xfId="70" xr:uid="{1D096641-3876-4807-81B4-3E65950B976B}"/>
    <cellStyle name="믅됞 [0.00]_PRODUCT DETAIL Q1" xfId="71" xr:uid="{1760FA23-D05C-4FD9-9E40-CA4B79B5FE78}"/>
    <cellStyle name="믅됞_PRODUCT DETAIL Q1" xfId="72" xr:uid="{91B99727-D60F-4F05-93C4-A2BFACBB0430}"/>
    <cellStyle name="백분율 [0]" xfId="73" xr:uid="{28235E16-5161-481A-8D67-0B903EDE6CF3}"/>
    <cellStyle name="백분율 [2]" xfId="74" xr:uid="{5C1A18BB-4C38-4763-9508-F46FD852D1E9}"/>
    <cellStyle name="보통 2" xfId="75" xr:uid="{FE69207B-3898-4A83-93BC-5B85B1C8BEF2}"/>
    <cellStyle name="뷭?_BOOKSHIP" xfId="76" xr:uid="{BF55A307-5787-46B0-A5D4-01DB880DC61F}"/>
    <cellStyle name="설명 텍스트 2" xfId="77" xr:uid="{EFF79D8D-84C1-4316-AE9A-1699E0DA7C6B}"/>
    <cellStyle name="셀 확인 2" xfId="78" xr:uid="{8B76B8AA-29FE-4417-BA59-89A40A16A33D}"/>
    <cellStyle name="쉼표 [0]" xfId="79" builtinId="6"/>
    <cellStyle name="쉼표 [0] 10 5" xfId="80" xr:uid="{9C13143B-9029-471E-8A68-FE44D174BD28}"/>
    <cellStyle name="쉼표 [0] 2" xfId="81" xr:uid="{6717E35B-A942-4844-8B78-5AAD12CE1E12}"/>
    <cellStyle name="쉼표 [0] 2 2" xfId="82" xr:uid="{28DA7BBF-3A61-4783-9FB4-F4C355FF3348}"/>
    <cellStyle name="쉼표 [0] 2 2 2" xfId="83" xr:uid="{AD17348D-9CC2-45B9-A4CD-136FB5F07B58}"/>
    <cellStyle name="쉼표 [0] 3" xfId="84" xr:uid="{184125B2-ACB1-4853-8F74-3BA107CECB8A}"/>
    <cellStyle name="쉼표 [0] 3 3" xfId="85" xr:uid="{3C0AA07A-80A9-4C56-9651-D11E1535C44D}"/>
    <cellStyle name="쉼표 [0] 4" xfId="86" xr:uid="{BF07C8E1-571F-461B-B64D-0584F96B1D1D}"/>
    <cellStyle name="스타일 1" xfId="87" xr:uid="{B37CD6A0-51F5-4712-B5A2-524C0F41D185}"/>
    <cellStyle name="연결된 셀 2" xfId="88" xr:uid="{61E646D4-E2C2-45AF-B50E-15BCFB4C6D45}"/>
    <cellStyle name="요약 2" xfId="89" xr:uid="{6DB45FE8-42A6-42D3-87DA-05EAC701FD77}"/>
    <cellStyle name="입력 2" xfId="90" xr:uid="{76144B7D-6EE4-40F4-92BE-42867098871F}"/>
    <cellStyle name="제목 1 2" xfId="91" xr:uid="{E48BBC51-2933-4620-BE47-2A3528BB7FED}"/>
    <cellStyle name="제목 2 2" xfId="92" xr:uid="{26A9397D-5D43-47EC-A4DC-986B6F47B093}"/>
    <cellStyle name="제목 3 2" xfId="93" xr:uid="{70FFC3E6-9BA3-4462-8AF2-1B7FF01BDA3E}"/>
    <cellStyle name="제목 4 2" xfId="94" xr:uid="{87233ECD-1DB0-4C51-8638-5B1485935A55}"/>
    <cellStyle name="제목 5" xfId="95" xr:uid="{EC58AC0C-CB52-4D25-ABDE-FFE3C2442014}"/>
    <cellStyle name="좋음 2" xfId="96" xr:uid="{9696C60D-E712-4425-9711-E393225892E1}"/>
    <cellStyle name="출력 2" xfId="97" xr:uid="{A21FCCEC-2178-4EB4-882E-4456526C328D}"/>
    <cellStyle name="콤마 [0]_004-견적내역서" xfId="98" xr:uid="{9A72CE4B-63B9-41D9-B4A1-EFFE82244527}"/>
    <cellStyle name="콤마 [2]" xfId="99" xr:uid="{04922278-8128-4C3E-BD98-12A17DC97490}"/>
    <cellStyle name="콤마_004-견적내역서" xfId="100" xr:uid="{C85B48BB-6A5B-4AB4-B017-0D39CCB96B17}"/>
    <cellStyle name="통화 [0] 2" xfId="101" xr:uid="{A6EB4601-788C-4E40-B006-CF3397E62C72}"/>
    <cellStyle name="통화 [0] 2 2" xfId="102" xr:uid="{72BFE751-10D3-47B2-8FDF-DCF5A22754BD}"/>
    <cellStyle name="통화 [0] 2 3" xfId="103" xr:uid="{D980FF68-107E-4FAF-817C-3FF70F0377DE}"/>
    <cellStyle name="표준" xfId="0" builtinId="0"/>
    <cellStyle name="표준 137" xfId="104" xr:uid="{09042531-04F3-4EF0-8245-5D271DC3EE2B}"/>
    <cellStyle name="표준 2" xfId="105" xr:uid="{F47EA651-B3B9-4D84-B782-A41762628F5F}"/>
    <cellStyle name="표준 2 2" xfId="106" xr:uid="{A96D3254-F502-4618-8FF8-4B9B25A655D6}"/>
    <cellStyle name="표준 2 3" xfId="107" xr:uid="{00169A74-CB07-435D-B57F-3F15A649C007}"/>
    <cellStyle name="표준 3" xfId="108" xr:uid="{B68B1412-D770-4E8D-9F05-693D44A65A71}"/>
    <cellStyle name="표준 3 3" xfId="109" xr:uid="{8A16F19C-3CBD-40F6-A2C6-005207867F36}"/>
    <cellStyle name="표준 4" xfId="110" xr:uid="{35EC5E3B-D174-4E85-B595-CEE2B854E0B0}"/>
    <cellStyle name="표준 5" xfId="111" xr:uid="{5724524C-FD86-474C-A5EF-E6D44BF75F08}"/>
    <cellStyle name="표준 6" xfId="112" xr:uid="{B34DC73D-8231-42D0-94D5-06D94B1A22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3</xdr:row>
      <xdr:rowOff>66675</xdr:rowOff>
    </xdr:from>
    <xdr:to>
      <xdr:col>3</xdr:col>
      <xdr:colOff>923925</xdr:colOff>
      <xdr:row>3</xdr:row>
      <xdr:rowOff>561975</xdr:rowOff>
    </xdr:to>
    <xdr:grpSp>
      <xdr:nvGrpSpPr>
        <xdr:cNvPr id="5155" name="그룹 8">
          <a:extLst>
            <a:ext uri="{FF2B5EF4-FFF2-40B4-BE49-F238E27FC236}">
              <a16:creationId xmlns:a16="http://schemas.microsoft.com/office/drawing/2014/main" id="{FDD1228C-9EB1-94F0-70B5-6D9354E5359F}"/>
            </a:ext>
          </a:extLst>
        </xdr:cNvPr>
        <xdr:cNvGrpSpPr>
          <a:grpSpLocks/>
        </xdr:cNvGrpSpPr>
      </xdr:nvGrpSpPr>
      <xdr:grpSpPr bwMode="auto">
        <a:xfrm>
          <a:off x="2238375" y="1143000"/>
          <a:ext cx="676275" cy="495300"/>
          <a:chOff x="2228850" y="1143000"/>
          <a:chExt cx="676275" cy="492443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6E3B3A6F-52E7-2A28-ECFA-F6AADA63BFBB}"/>
              </a:ext>
            </a:extLst>
          </xdr:cNvPr>
          <xdr:cNvSpPr txBox="1"/>
        </xdr:nvSpPr>
        <xdr:spPr>
          <a:xfrm>
            <a:off x="2228850" y="1143000"/>
            <a:ext cx="676275" cy="49244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ko-KR" altLang="en-US" sz="1200">
                <a:solidFill>
                  <a:srgbClr val="CC0000"/>
                </a:solidFill>
                <a:latin typeface="HY목각파임B" pitchFamily="18" charset="-127"/>
                <a:ea typeface="HY목각파임B" pitchFamily="18" charset="-127"/>
              </a:rPr>
              <a:t>하비</a:t>
            </a:r>
          </a:p>
        </xdr:txBody>
      </xdr:sp>
      <xdr:sp macro="" textlink="">
        <xdr:nvSpPr>
          <xdr:cNvPr id="7" name="모서리가 둥근 직사각형 6">
            <a:extLst>
              <a:ext uri="{FF2B5EF4-FFF2-40B4-BE49-F238E27FC236}">
                <a16:creationId xmlns:a16="http://schemas.microsoft.com/office/drawing/2014/main" id="{E3B9979F-8018-53A6-40FD-77ED9A1B8CE7}"/>
              </a:ext>
            </a:extLst>
          </xdr:cNvPr>
          <xdr:cNvSpPr/>
        </xdr:nvSpPr>
        <xdr:spPr>
          <a:xfrm>
            <a:off x="2314575" y="1171410"/>
            <a:ext cx="504825" cy="378802"/>
          </a:xfrm>
          <a:prstGeom prst="roundRect">
            <a:avLst/>
          </a:prstGeom>
          <a:noFill/>
          <a:ln>
            <a:solidFill>
              <a:srgbClr val="CC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US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CCFD0A34-8F79-07D4-F2F3-414DEDCA074A}"/>
              </a:ext>
            </a:extLst>
          </xdr:cNvPr>
          <xdr:cNvSpPr txBox="1"/>
        </xdr:nvSpPr>
        <xdr:spPr>
          <a:xfrm>
            <a:off x="2228850" y="1303991"/>
            <a:ext cx="676275" cy="26516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ko-KR" altLang="en-US" sz="1200">
                <a:solidFill>
                  <a:srgbClr val="CC0000"/>
                </a:solidFill>
                <a:latin typeface="HY목각파임B" pitchFamily="18" charset="-127"/>
                <a:ea typeface="HY목각파임B" pitchFamily="18" charset="-127"/>
              </a:rPr>
              <a:t>브라운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-pc\usb&#51088;&#47308;(&#50808;&#51109;&#54616;&#46300;&#51089;&#50629;&#48169;)\&#50689;&#51652;&#45815;&#52980;\100&#44032;&#51648;&#49892;&#47924;&#47928;&#49436;\&#47564;&#45380;&#45804;&#4714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만년달력"/>
      <sheetName val="사용방법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374B-D41D-4153-873E-744104E5CB27}">
  <sheetPr>
    <pageSetUpPr autoPageBreaks="0"/>
  </sheetPr>
  <dimension ref="A1:L26"/>
  <sheetViews>
    <sheetView showGridLines="0" tabSelected="1" workbookViewId="0">
      <selection activeCell="A19" sqref="A19:G19"/>
    </sheetView>
  </sheetViews>
  <sheetFormatPr defaultRowHeight="13.5"/>
  <cols>
    <col min="1" max="1" width="5.88671875" style="49" customWidth="1"/>
    <col min="2" max="2" width="9.6640625" customWidth="1"/>
    <col min="3" max="3" width="7.6640625" customWidth="1"/>
    <col min="4" max="4" width="11" customWidth="1"/>
    <col min="5" max="5" width="6.6640625" customWidth="1"/>
    <col min="6" max="6" width="6.88671875" customWidth="1"/>
    <col min="7" max="7" width="8.88671875" customWidth="1"/>
    <col min="8" max="8" width="4.6640625" customWidth="1"/>
    <col min="9" max="9" width="5.6640625" customWidth="1"/>
    <col min="10" max="10" width="9" customWidth="1"/>
    <col min="11" max="11" width="9.5546875" customWidth="1"/>
    <col min="12" max="12" width="5.109375" customWidth="1"/>
  </cols>
  <sheetData>
    <row r="1" spans="1:12" ht="35.25" customHeight="1"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4"/>
      <c r="L1" s="74"/>
    </row>
    <row r="3" spans="1:12" s="1" customFormat="1" ht="36" customHeight="1" thickBot="1">
      <c r="A3" s="79" t="s">
        <v>1</v>
      </c>
      <c r="B3" s="80"/>
      <c r="C3" s="76">
        <v>45789</v>
      </c>
      <c r="D3" s="76"/>
      <c r="J3" s="75"/>
      <c r="K3" s="75"/>
      <c r="L3" s="75"/>
    </row>
    <row r="4" spans="1:12" s="22" customFormat="1" ht="44.45" customHeight="1" thickBot="1">
      <c r="A4" s="57" t="s">
        <v>2</v>
      </c>
      <c r="B4" s="57" t="s">
        <v>3</v>
      </c>
      <c r="C4" s="77" t="s">
        <v>4</v>
      </c>
      <c r="D4" s="78"/>
      <c r="E4" s="81" t="s">
        <v>5</v>
      </c>
      <c r="F4" s="82"/>
      <c r="G4" s="83" t="s">
        <v>6</v>
      </c>
      <c r="H4" s="84"/>
      <c r="I4" s="85"/>
      <c r="J4" s="32" t="s">
        <v>7</v>
      </c>
      <c r="K4" s="83" t="s">
        <v>8</v>
      </c>
      <c r="L4" s="85"/>
    </row>
    <row r="5" spans="1:12" s="22" customFormat="1" ht="25.5" customHeight="1" thickBot="1">
      <c r="A5" s="21"/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23.25" customHeight="1" thickBot="1">
      <c r="A6" s="53" t="s">
        <v>9</v>
      </c>
      <c r="B6" s="67" t="s">
        <v>10</v>
      </c>
      <c r="C6" s="67"/>
      <c r="D6" s="61" t="s">
        <v>11</v>
      </c>
      <c r="E6" s="61" t="s">
        <v>12</v>
      </c>
      <c r="F6" s="61" t="s">
        <v>13</v>
      </c>
      <c r="G6" s="61" t="s">
        <v>14</v>
      </c>
      <c r="H6" s="68" t="s">
        <v>15</v>
      </c>
      <c r="I6" s="69"/>
      <c r="J6" s="61" t="s">
        <v>16</v>
      </c>
      <c r="K6" s="62" t="s">
        <v>17</v>
      </c>
      <c r="L6" s="28" t="s">
        <v>18</v>
      </c>
    </row>
    <row r="7" spans="1:12" s="1" customFormat="1" ht="23.25" customHeight="1">
      <c r="A7" s="54">
        <v>1</v>
      </c>
      <c r="B7" s="70" t="s">
        <v>19</v>
      </c>
      <c r="C7" s="71"/>
      <c r="D7" s="40" t="s">
        <v>20</v>
      </c>
      <c r="E7" s="31">
        <v>16</v>
      </c>
      <c r="F7" s="37" t="str">
        <f>IF(B7&gt;=1,"EA","")</f>
        <v>EA</v>
      </c>
      <c r="G7" s="41">
        <v>17500</v>
      </c>
      <c r="H7" s="72">
        <f>G7*E7</f>
        <v>280000</v>
      </c>
      <c r="I7" s="73"/>
      <c r="J7" s="42">
        <f>H7*0.1</f>
        <v>28000</v>
      </c>
      <c r="K7" s="43">
        <f>J7+H7</f>
        <v>308000</v>
      </c>
      <c r="L7" s="33"/>
    </row>
    <row r="8" spans="1:12" s="1" customFormat="1" ht="23.25" customHeight="1">
      <c r="A8" s="55">
        <v>2</v>
      </c>
      <c r="B8" s="86" t="s">
        <v>21</v>
      </c>
      <c r="C8" s="87"/>
      <c r="D8" s="31" t="s">
        <v>20</v>
      </c>
      <c r="E8" s="31">
        <v>30</v>
      </c>
      <c r="F8" s="38" t="str">
        <f t="shared" ref="F8:F18" si="0">IF(B8&gt;=1,"EA","")</f>
        <v>EA</v>
      </c>
      <c r="G8" s="44">
        <v>19000</v>
      </c>
      <c r="H8" s="88">
        <f t="shared" ref="H8:H18" si="1">G8*E8</f>
        <v>570000</v>
      </c>
      <c r="I8" s="89"/>
      <c r="J8" s="45">
        <f t="shared" ref="J8:J18" si="2">IF(H8="","",H8*10%)</f>
        <v>57000</v>
      </c>
      <c r="K8" s="43">
        <f t="shared" ref="K8:K18" si="3">J8+H8</f>
        <v>627000</v>
      </c>
      <c r="L8" s="34"/>
    </row>
    <row r="9" spans="1:12" s="1" customFormat="1" ht="23.25" customHeight="1">
      <c r="A9" s="55">
        <v>3</v>
      </c>
      <c r="B9" s="86" t="s">
        <v>22</v>
      </c>
      <c r="C9" s="87"/>
      <c r="D9" s="31" t="s">
        <v>20</v>
      </c>
      <c r="E9" s="31">
        <v>46</v>
      </c>
      <c r="F9" s="38" t="str">
        <f t="shared" si="0"/>
        <v>EA</v>
      </c>
      <c r="G9" s="44">
        <v>5000</v>
      </c>
      <c r="H9" s="88">
        <f t="shared" si="1"/>
        <v>230000</v>
      </c>
      <c r="I9" s="89"/>
      <c r="J9" s="45">
        <f t="shared" si="2"/>
        <v>23000</v>
      </c>
      <c r="K9" s="43">
        <f t="shared" si="3"/>
        <v>253000</v>
      </c>
      <c r="L9" s="34"/>
    </row>
    <row r="10" spans="1:12" s="1" customFormat="1" ht="23.25" customHeight="1">
      <c r="A10" s="55">
        <v>4</v>
      </c>
      <c r="B10" s="86" t="s">
        <v>23</v>
      </c>
      <c r="C10" s="87"/>
      <c r="D10" s="31"/>
      <c r="E10" s="31">
        <v>46</v>
      </c>
      <c r="F10" s="38" t="str">
        <f t="shared" si="0"/>
        <v>EA</v>
      </c>
      <c r="G10" s="44">
        <v>500</v>
      </c>
      <c r="H10" s="88">
        <f t="shared" si="1"/>
        <v>23000</v>
      </c>
      <c r="I10" s="89"/>
      <c r="J10" s="45">
        <f>IF(H10="","",H10*10%)</f>
        <v>2300</v>
      </c>
      <c r="K10" s="43">
        <f t="shared" si="3"/>
        <v>25300</v>
      </c>
      <c r="L10" s="34"/>
    </row>
    <row r="11" spans="1:12" s="1" customFormat="1" ht="23.25" customHeight="1">
      <c r="A11" s="55">
        <v>5</v>
      </c>
      <c r="B11" s="86"/>
      <c r="C11" s="87"/>
      <c r="D11" s="59"/>
      <c r="E11" s="31"/>
      <c r="F11" s="38" t="str">
        <f t="shared" si="0"/>
        <v/>
      </c>
      <c r="G11" s="44"/>
      <c r="H11" s="90">
        <f t="shared" si="1"/>
        <v>0</v>
      </c>
      <c r="I11" s="91"/>
      <c r="J11" s="45">
        <f>IF(H11="","",H11*10%)</f>
        <v>0</v>
      </c>
      <c r="K11" s="43">
        <f t="shared" si="3"/>
        <v>0</v>
      </c>
      <c r="L11" s="34"/>
    </row>
    <row r="12" spans="1:12" s="1" customFormat="1" ht="23.25" customHeight="1">
      <c r="A12" s="55">
        <v>6</v>
      </c>
      <c r="B12" s="86"/>
      <c r="C12" s="87"/>
      <c r="D12" s="59"/>
      <c r="E12" s="31"/>
      <c r="F12" s="38" t="str">
        <f t="shared" si="0"/>
        <v/>
      </c>
      <c r="G12" s="44"/>
      <c r="H12" s="90">
        <f t="shared" si="1"/>
        <v>0</v>
      </c>
      <c r="I12" s="91"/>
      <c r="J12" s="45">
        <f>IF(H12="","",H12*10%)</f>
        <v>0</v>
      </c>
      <c r="K12" s="43">
        <f t="shared" si="3"/>
        <v>0</v>
      </c>
      <c r="L12" s="34"/>
    </row>
    <row r="13" spans="1:12" s="1" customFormat="1" ht="23.25" customHeight="1">
      <c r="A13" s="55">
        <v>7</v>
      </c>
      <c r="B13" s="86"/>
      <c r="C13" s="87"/>
      <c r="D13" s="31"/>
      <c r="E13" s="31"/>
      <c r="F13" s="38" t="str">
        <f t="shared" si="0"/>
        <v/>
      </c>
      <c r="G13" s="44"/>
      <c r="H13" s="90">
        <f t="shared" si="1"/>
        <v>0</v>
      </c>
      <c r="I13" s="91"/>
      <c r="J13" s="45">
        <f t="shared" si="2"/>
        <v>0</v>
      </c>
      <c r="K13" s="43">
        <f t="shared" si="3"/>
        <v>0</v>
      </c>
      <c r="L13" s="34"/>
    </row>
    <row r="14" spans="1:12" s="1" customFormat="1" ht="23.25" customHeight="1">
      <c r="A14" s="55">
        <v>8</v>
      </c>
      <c r="B14" s="86"/>
      <c r="C14" s="87"/>
      <c r="D14" s="31"/>
      <c r="E14" s="31"/>
      <c r="F14" s="38" t="str">
        <f t="shared" si="0"/>
        <v/>
      </c>
      <c r="G14" s="44"/>
      <c r="H14" s="90">
        <f t="shared" si="1"/>
        <v>0</v>
      </c>
      <c r="I14" s="91"/>
      <c r="J14" s="45">
        <f t="shared" si="2"/>
        <v>0</v>
      </c>
      <c r="K14" s="43">
        <f t="shared" si="3"/>
        <v>0</v>
      </c>
      <c r="L14" s="34"/>
    </row>
    <row r="15" spans="1:12" s="1" customFormat="1" ht="23.25" customHeight="1">
      <c r="A15" s="55">
        <v>9</v>
      </c>
      <c r="B15" s="86"/>
      <c r="C15" s="87"/>
      <c r="D15" s="31"/>
      <c r="E15" s="31"/>
      <c r="F15" s="38" t="str">
        <f t="shared" si="0"/>
        <v/>
      </c>
      <c r="G15" s="44"/>
      <c r="H15" s="90">
        <f t="shared" si="1"/>
        <v>0</v>
      </c>
      <c r="I15" s="91"/>
      <c r="J15" s="45">
        <f t="shared" si="2"/>
        <v>0</v>
      </c>
      <c r="K15" s="43">
        <f t="shared" si="3"/>
        <v>0</v>
      </c>
      <c r="L15" s="34"/>
    </row>
    <row r="16" spans="1:12" s="1" customFormat="1" ht="23.25" customHeight="1">
      <c r="A16" s="55">
        <v>10</v>
      </c>
      <c r="B16" s="86"/>
      <c r="C16" s="87"/>
      <c r="D16" s="59"/>
      <c r="E16" s="31"/>
      <c r="F16" s="38" t="str">
        <f t="shared" si="0"/>
        <v/>
      </c>
      <c r="G16" s="44"/>
      <c r="H16" s="90">
        <f t="shared" si="1"/>
        <v>0</v>
      </c>
      <c r="I16" s="91"/>
      <c r="J16" s="45">
        <f t="shared" si="2"/>
        <v>0</v>
      </c>
      <c r="K16" s="43">
        <f t="shared" si="3"/>
        <v>0</v>
      </c>
      <c r="L16" s="34"/>
    </row>
    <row r="17" spans="1:12" s="1" customFormat="1" ht="23.25" customHeight="1">
      <c r="A17" s="55">
        <v>11</v>
      </c>
      <c r="B17" s="86"/>
      <c r="C17" s="87"/>
      <c r="D17" s="59"/>
      <c r="E17" s="31"/>
      <c r="F17" s="38" t="str">
        <f t="shared" si="0"/>
        <v/>
      </c>
      <c r="G17" s="44"/>
      <c r="H17" s="90">
        <f t="shared" si="1"/>
        <v>0</v>
      </c>
      <c r="I17" s="91"/>
      <c r="J17" s="45">
        <f t="shared" si="2"/>
        <v>0</v>
      </c>
      <c r="K17" s="43">
        <f t="shared" si="3"/>
        <v>0</v>
      </c>
      <c r="L17" s="34"/>
    </row>
    <row r="18" spans="1:12" s="1" customFormat="1" ht="23.25" customHeight="1" thickBot="1">
      <c r="A18" s="56">
        <v>12</v>
      </c>
      <c r="B18" s="107"/>
      <c r="C18" s="107"/>
      <c r="D18" s="60"/>
      <c r="E18" s="60"/>
      <c r="F18" s="39" t="str">
        <f t="shared" si="0"/>
        <v/>
      </c>
      <c r="G18" s="46"/>
      <c r="H18" s="94">
        <f t="shared" si="1"/>
        <v>0</v>
      </c>
      <c r="I18" s="95"/>
      <c r="J18" s="47">
        <f t="shared" si="2"/>
        <v>0</v>
      </c>
      <c r="K18" s="47">
        <f t="shared" si="3"/>
        <v>0</v>
      </c>
      <c r="L18" s="35"/>
    </row>
    <row r="19" spans="1:12" s="1" customFormat="1" ht="23.25" customHeight="1" thickTop="1" thickBot="1">
      <c r="A19" s="103" t="s">
        <v>24</v>
      </c>
      <c r="B19" s="104"/>
      <c r="C19" s="104"/>
      <c r="D19" s="104"/>
      <c r="E19" s="104"/>
      <c r="F19" s="104"/>
      <c r="G19" s="104"/>
      <c r="H19" s="92">
        <f>SUM(H7:I18)</f>
        <v>1103000</v>
      </c>
      <c r="I19" s="93"/>
      <c r="J19" s="48">
        <f>SUM(J7:J18)</f>
        <v>110300</v>
      </c>
      <c r="K19" s="48">
        <f>SUM(K7:K18)</f>
        <v>1213300</v>
      </c>
      <c r="L19" s="36"/>
    </row>
    <row r="20" spans="1:12" s="1" customFormat="1" ht="42" customHeight="1" thickBot="1">
      <c r="A20" s="105" t="s">
        <v>25</v>
      </c>
      <c r="B20" s="106"/>
      <c r="C20" s="108">
        <f>C3</f>
        <v>45789</v>
      </c>
      <c r="D20" s="101"/>
      <c r="E20" s="99" t="s">
        <v>26</v>
      </c>
      <c r="F20" s="100"/>
      <c r="G20" s="101" t="s">
        <v>27</v>
      </c>
      <c r="H20" s="101"/>
      <c r="I20" s="101"/>
      <c r="J20" s="101"/>
      <c r="K20" s="101"/>
      <c r="L20" s="102"/>
    </row>
    <row r="21" spans="1:12" s="1" customFormat="1" ht="40.5" customHeight="1">
      <c r="A21" s="50"/>
      <c r="B21" s="96" t="s">
        <v>28</v>
      </c>
      <c r="C21" s="96"/>
      <c r="D21" s="96"/>
      <c r="E21" s="96"/>
      <c r="F21" s="96"/>
      <c r="G21" s="96"/>
      <c r="H21" s="96"/>
      <c r="I21" s="96"/>
      <c r="J21" s="96"/>
      <c r="K21" s="96"/>
      <c r="L21" s="97"/>
    </row>
    <row r="22" spans="1:12" s="1" customFormat="1" ht="64.5" customHeight="1">
      <c r="A22" s="51"/>
      <c r="B22" s="25"/>
      <c r="C22" s="25"/>
      <c r="D22" s="25"/>
      <c r="E22" s="25"/>
      <c r="F22" s="98">
        <f>C3</f>
        <v>45789</v>
      </c>
      <c r="G22" s="98"/>
      <c r="H22" s="98"/>
      <c r="I22" s="25"/>
      <c r="J22" s="25"/>
      <c r="K22" s="25"/>
      <c r="L22" s="26"/>
    </row>
    <row r="23" spans="1:12" s="1" customFormat="1" ht="25.5" customHeight="1">
      <c r="A23" s="51"/>
      <c r="B23" s="25"/>
      <c r="C23" s="25"/>
      <c r="D23" s="25"/>
      <c r="E23" s="25"/>
      <c r="F23" s="25"/>
      <c r="G23" s="25" t="s">
        <v>29</v>
      </c>
      <c r="H23" s="27" t="s">
        <v>30</v>
      </c>
      <c r="I23" s="25"/>
      <c r="J23" s="25" t="s">
        <v>31</v>
      </c>
      <c r="K23" s="25"/>
      <c r="L23" s="26"/>
    </row>
    <row r="24" spans="1:12" s="1" customFormat="1" ht="25.5" customHeight="1">
      <c r="A24" s="51"/>
      <c r="B24" s="25"/>
      <c r="C24" s="25"/>
      <c r="D24" s="25"/>
      <c r="E24" s="25"/>
      <c r="F24" s="25"/>
      <c r="G24" s="25"/>
      <c r="H24" s="27"/>
      <c r="I24" s="25"/>
      <c r="J24" s="25" t="s">
        <v>32</v>
      </c>
      <c r="K24" s="25"/>
      <c r="L24" s="26"/>
    </row>
    <row r="25" spans="1:12" s="1" customFormat="1" ht="18.75" customHeight="1">
      <c r="A25" s="51"/>
      <c r="B25" s="25"/>
      <c r="C25" s="25"/>
      <c r="D25" s="25"/>
      <c r="E25" s="25"/>
      <c r="F25" s="25"/>
      <c r="G25" s="25"/>
      <c r="H25" s="25"/>
      <c r="I25" s="58"/>
      <c r="J25" s="25"/>
      <c r="K25" s="25"/>
      <c r="L25" s="26"/>
    </row>
    <row r="26" spans="1:12" s="1" customFormat="1" ht="6.75" customHeight="1" thickBot="1">
      <c r="A26" s="5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4"/>
    </row>
  </sheetData>
  <mergeCells count="42">
    <mergeCell ref="B21:L21"/>
    <mergeCell ref="F22:H22"/>
    <mergeCell ref="B10:C10"/>
    <mergeCell ref="H10:I10"/>
    <mergeCell ref="B11:C11"/>
    <mergeCell ref="H11:I11"/>
    <mergeCell ref="B12:C12"/>
    <mergeCell ref="H12:I12"/>
    <mergeCell ref="B17:C17"/>
    <mergeCell ref="H17:I17"/>
    <mergeCell ref="E20:F20"/>
    <mergeCell ref="G20:L20"/>
    <mergeCell ref="A19:G19"/>
    <mergeCell ref="A20:B20"/>
    <mergeCell ref="B18:C18"/>
    <mergeCell ref="C20:D20"/>
    <mergeCell ref="H19:I19"/>
    <mergeCell ref="B14:C14"/>
    <mergeCell ref="H14:I14"/>
    <mergeCell ref="B15:C15"/>
    <mergeCell ref="H15:I15"/>
    <mergeCell ref="B16:C16"/>
    <mergeCell ref="H16:I16"/>
    <mergeCell ref="H18:I18"/>
    <mergeCell ref="B8:C8"/>
    <mergeCell ref="H8:I8"/>
    <mergeCell ref="B9:C9"/>
    <mergeCell ref="H9:I9"/>
    <mergeCell ref="B13:C13"/>
    <mergeCell ref="H13:I13"/>
    <mergeCell ref="B6:C6"/>
    <mergeCell ref="H6:I6"/>
    <mergeCell ref="B7:C7"/>
    <mergeCell ref="H7:I7"/>
    <mergeCell ref="B1:L1"/>
    <mergeCell ref="J3:L3"/>
    <mergeCell ref="C3:D3"/>
    <mergeCell ref="C4:D4"/>
    <mergeCell ref="A3:B3"/>
    <mergeCell ref="E4:F4"/>
    <mergeCell ref="G4:I4"/>
    <mergeCell ref="K4:L4"/>
  </mergeCells>
  <phoneticPr fontId="2" type="noConversion"/>
  <printOptions horizontalCentered="1" verticalCentered="1"/>
  <pageMargins left="0.25" right="0.25" top="0.75" bottom="0.75" header="0.3" footer="0.3"/>
  <pageSetup paperSize="9" orientation="portrait" blackAndWhite="1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79759-A658-4BF4-839F-29475C128AF5}">
  <sheetPr>
    <pageSetUpPr autoPageBreaks="0"/>
  </sheetPr>
  <dimension ref="B2:J27"/>
  <sheetViews>
    <sheetView showGridLines="0" workbookViewId="0">
      <selection activeCell="I5" sqref="I5:J5"/>
    </sheetView>
  </sheetViews>
  <sheetFormatPr defaultRowHeight="13.5"/>
  <cols>
    <col min="1" max="1" width="1.77734375" customWidth="1"/>
    <col min="2" max="2" width="9.6640625" customWidth="1"/>
    <col min="3" max="3" width="9" customWidth="1"/>
    <col min="4" max="4" width="4.88671875" bestFit="1" customWidth="1"/>
    <col min="5" max="5" width="5.88671875" customWidth="1"/>
    <col min="6" max="6" width="10.21875" customWidth="1"/>
    <col min="7" max="7" width="4.6640625" customWidth="1"/>
    <col min="8" max="8" width="7.6640625" customWidth="1"/>
    <col min="9" max="9" width="10.5546875" customWidth="1"/>
    <col min="10" max="10" width="10.77734375" customWidth="1"/>
  </cols>
  <sheetData>
    <row r="2" spans="2:10" ht="35.25" customHeight="1">
      <c r="B2" s="121" t="s">
        <v>33</v>
      </c>
      <c r="C2" s="121"/>
      <c r="D2" s="121"/>
      <c r="E2" s="121"/>
      <c r="F2" s="121"/>
      <c r="G2" s="121"/>
      <c r="H2" s="121"/>
      <c r="I2" s="121"/>
      <c r="J2" s="121"/>
    </row>
    <row r="4" spans="2:10" s="1" customFormat="1" ht="18.75" customHeight="1" thickBot="1">
      <c r="I4" s="134">
        <v>43466</v>
      </c>
      <c r="J4" s="134"/>
    </row>
    <row r="5" spans="2:10" s="1" customFormat="1" ht="23.25" customHeight="1">
      <c r="B5" s="2" t="s">
        <v>34</v>
      </c>
      <c r="C5" s="117"/>
      <c r="D5" s="117"/>
      <c r="E5" s="117"/>
      <c r="F5" s="117"/>
      <c r="G5" s="126" t="s">
        <v>35</v>
      </c>
      <c r="H5" s="127"/>
      <c r="I5" s="117"/>
      <c r="J5" s="118"/>
    </row>
    <row r="6" spans="2:10" s="1" customFormat="1" ht="23.25" customHeight="1">
      <c r="B6" s="3" t="s">
        <v>36</v>
      </c>
      <c r="C6" s="119"/>
      <c r="D6" s="119"/>
      <c r="E6" s="119"/>
      <c r="F6" s="119"/>
      <c r="G6" s="119"/>
      <c r="H6" s="119"/>
      <c r="I6" s="119"/>
      <c r="J6" s="120"/>
    </row>
    <row r="7" spans="2:10" s="1" customFormat="1" ht="23.25" customHeight="1">
      <c r="B7" s="20" t="s">
        <v>37</v>
      </c>
      <c r="C7" s="128"/>
      <c r="D7" s="128"/>
      <c r="E7" s="128"/>
      <c r="F7" s="128"/>
      <c r="G7" s="128"/>
      <c r="H7" s="128"/>
      <c r="I7" s="128"/>
      <c r="J7" s="129"/>
    </row>
    <row r="8" spans="2:10" s="1" customFormat="1" ht="23.25" customHeight="1" thickBot="1">
      <c r="B8" s="4" t="s">
        <v>38</v>
      </c>
      <c r="C8" s="110"/>
      <c r="D8" s="110"/>
      <c r="E8" s="110"/>
      <c r="F8" s="110"/>
      <c r="G8" s="110"/>
      <c r="H8" s="110"/>
      <c r="I8" s="110"/>
      <c r="J8" s="116"/>
    </row>
    <row r="9" spans="2:10" s="1" customFormat="1" ht="23.25" customHeight="1">
      <c r="B9" s="137" t="s">
        <v>39</v>
      </c>
      <c r="C9" s="138"/>
      <c r="D9" s="63" t="s">
        <v>40</v>
      </c>
      <c r="E9" s="63" t="s">
        <v>12</v>
      </c>
      <c r="F9" s="63" t="s">
        <v>14</v>
      </c>
      <c r="G9" s="122" t="s">
        <v>15</v>
      </c>
      <c r="H9" s="123"/>
      <c r="I9" s="63" t="s">
        <v>16</v>
      </c>
      <c r="J9" s="8" t="s">
        <v>18</v>
      </c>
    </row>
    <row r="10" spans="2:10" s="1" customFormat="1" ht="23.25" customHeight="1">
      <c r="B10" s="139"/>
      <c r="C10" s="140"/>
      <c r="D10" s="64"/>
      <c r="E10" s="9"/>
      <c r="F10" s="9"/>
      <c r="G10" s="124"/>
      <c r="H10" s="125"/>
      <c r="I10" s="6"/>
      <c r="J10" s="12"/>
    </row>
    <row r="11" spans="2:10" s="1" customFormat="1" ht="23.25" customHeight="1">
      <c r="B11" s="130"/>
      <c r="C11" s="131"/>
      <c r="D11" s="64"/>
      <c r="E11" s="9"/>
      <c r="F11" s="9"/>
      <c r="G11" s="124" t="str">
        <f t="shared" ref="G11:G19" si="0">IF(OR(ISBLANK(E11),ISBLANK(F11)),"",E11*F11)</f>
        <v/>
      </c>
      <c r="H11" s="125"/>
      <c r="I11" s="6" t="str">
        <f t="shared" ref="I11:I19" si="1">IF(G11="","",G11*10%)</f>
        <v/>
      </c>
      <c r="J11" s="12"/>
    </row>
    <row r="12" spans="2:10" s="1" customFormat="1" ht="23.25" customHeight="1">
      <c r="B12" s="130"/>
      <c r="C12" s="131"/>
      <c r="D12" s="64"/>
      <c r="E12" s="9"/>
      <c r="F12" s="9"/>
      <c r="G12" s="124" t="str">
        <f t="shared" si="0"/>
        <v/>
      </c>
      <c r="H12" s="125"/>
      <c r="I12" s="6" t="str">
        <f t="shared" si="1"/>
        <v/>
      </c>
      <c r="J12" s="12"/>
    </row>
    <row r="13" spans="2:10" s="1" customFormat="1" ht="23.25" customHeight="1">
      <c r="B13" s="130"/>
      <c r="C13" s="131"/>
      <c r="D13" s="64"/>
      <c r="E13" s="9"/>
      <c r="F13" s="9"/>
      <c r="G13" s="124" t="str">
        <f t="shared" si="0"/>
        <v/>
      </c>
      <c r="H13" s="125"/>
      <c r="I13" s="6" t="str">
        <f t="shared" si="1"/>
        <v/>
      </c>
      <c r="J13" s="12"/>
    </row>
    <row r="14" spans="2:10" s="1" customFormat="1" ht="23.25" customHeight="1">
      <c r="B14" s="130"/>
      <c r="C14" s="131"/>
      <c r="D14" s="64"/>
      <c r="E14" s="9"/>
      <c r="F14" s="9"/>
      <c r="G14" s="124" t="str">
        <f t="shared" si="0"/>
        <v/>
      </c>
      <c r="H14" s="125"/>
      <c r="I14" s="6" t="str">
        <f t="shared" si="1"/>
        <v/>
      </c>
      <c r="J14" s="12"/>
    </row>
    <row r="15" spans="2:10" s="1" customFormat="1" ht="23.25" customHeight="1">
      <c r="B15" s="130"/>
      <c r="C15" s="131"/>
      <c r="D15" s="64"/>
      <c r="E15" s="9"/>
      <c r="F15" s="9"/>
      <c r="G15" s="124" t="str">
        <f t="shared" si="0"/>
        <v/>
      </c>
      <c r="H15" s="125"/>
      <c r="I15" s="6" t="str">
        <f t="shared" si="1"/>
        <v/>
      </c>
      <c r="J15" s="12"/>
    </row>
    <row r="16" spans="2:10" s="1" customFormat="1" ht="23.25" customHeight="1">
      <c r="B16" s="130"/>
      <c r="C16" s="131"/>
      <c r="D16" s="64"/>
      <c r="E16" s="9"/>
      <c r="F16" s="9"/>
      <c r="G16" s="124" t="str">
        <f t="shared" si="0"/>
        <v/>
      </c>
      <c r="H16" s="125"/>
      <c r="I16" s="6" t="str">
        <f t="shared" si="1"/>
        <v/>
      </c>
      <c r="J16" s="12"/>
    </row>
    <row r="17" spans="2:10" s="1" customFormat="1" ht="23.25" customHeight="1">
      <c r="B17" s="130"/>
      <c r="C17" s="131"/>
      <c r="D17" s="64"/>
      <c r="E17" s="9"/>
      <c r="F17" s="9"/>
      <c r="G17" s="124" t="str">
        <f t="shared" si="0"/>
        <v/>
      </c>
      <c r="H17" s="125"/>
      <c r="I17" s="6" t="str">
        <f t="shared" si="1"/>
        <v/>
      </c>
      <c r="J17" s="12"/>
    </row>
    <row r="18" spans="2:10" s="1" customFormat="1" ht="23.25" customHeight="1">
      <c r="B18" s="130"/>
      <c r="C18" s="131"/>
      <c r="D18" s="64"/>
      <c r="E18" s="9"/>
      <c r="F18" s="9"/>
      <c r="G18" s="124" t="str">
        <f t="shared" si="0"/>
        <v/>
      </c>
      <c r="H18" s="125"/>
      <c r="I18" s="6" t="str">
        <f t="shared" si="1"/>
        <v/>
      </c>
      <c r="J18" s="12"/>
    </row>
    <row r="19" spans="2:10" s="1" customFormat="1" ht="23.25" customHeight="1" thickBot="1">
      <c r="B19" s="132"/>
      <c r="C19" s="133"/>
      <c r="D19" s="10"/>
      <c r="E19" s="11"/>
      <c r="F19" s="11"/>
      <c r="G19" s="135" t="str">
        <f t="shared" si="0"/>
        <v/>
      </c>
      <c r="H19" s="136"/>
      <c r="I19" s="7" t="str">
        <f t="shared" si="1"/>
        <v/>
      </c>
      <c r="J19" s="13"/>
    </row>
    <row r="20" spans="2:10" s="1" customFormat="1" ht="23.25" customHeight="1">
      <c r="B20" s="2" t="s">
        <v>41</v>
      </c>
      <c r="C20" s="114" t="str">
        <f>IF(SUM($G$10:$I$19)=0,"",SUM($G$10:$I$19))</f>
        <v/>
      </c>
      <c r="D20" s="114"/>
      <c r="E20" s="115"/>
      <c r="F20" s="115"/>
      <c r="G20" s="111" t="s">
        <v>42</v>
      </c>
      <c r="H20" s="5" t="s">
        <v>43</v>
      </c>
      <c r="I20" s="117"/>
      <c r="J20" s="118"/>
    </row>
    <row r="21" spans="2:10" s="1" customFormat="1" ht="23.25" customHeight="1">
      <c r="B21" s="3" t="s">
        <v>44</v>
      </c>
      <c r="C21" s="109"/>
      <c r="D21" s="109"/>
      <c r="E21" s="109"/>
      <c r="F21" s="109"/>
      <c r="G21" s="112"/>
      <c r="H21" s="65" t="s">
        <v>45</v>
      </c>
      <c r="I21" s="119"/>
      <c r="J21" s="120"/>
    </row>
    <row r="22" spans="2:10" s="1" customFormat="1" ht="23.25" customHeight="1">
      <c r="B22" s="3" t="s">
        <v>46</v>
      </c>
      <c r="C22" s="109"/>
      <c r="D22" s="109"/>
      <c r="E22" s="109"/>
      <c r="F22" s="109"/>
      <c r="G22" s="112"/>
      <c r="H22" s="65" t="s">
        <v>47</v>
      </c>
      <c r="I22" s="119"/>
      <c r="J22" s="120"/>
    </row>
    <row r="23" spans="2:10" s="1" customFormat="1" ht="23.25" customHeight="1">
      <c r="B23" s="3" t="s">
        <v>48</v>
      </c>
      <c r="C23" s="109"/>
      <c r="D23" s="109"/>
      <c r="E23" s="109"/>
      <c r="F23" s="109"/>
      <c r="G23" s="112"/>
      <c r="H23" s="65" t="s">
        <v>49</v>
      </c>
      <c r="I23" s="119"/>
      <c r="J23" s="120"/>
    </row>
    <row r="24" spans="2:10" s="1" customFormat="1" ht="23.25" customHeight="1" thickBot="1">
      <c r="B24" s="4" t="s">
        <v>50</v>
      </c>
      <c r="C24" s="110"/>
      <c r="D24" s="110"/>
      <c r="E24" s="110"/>
      <c r="F24" s="110"/>
      <c r="G24" s="113"/>
      <c r="H24" s="66" t="s">
        <v>51</v>
      </c>
      <c r="I24" s="110"/>
      <c r="J24" s="116"/>
    </row>
    <row r="25" spans="2:10" s="1" customFormat="1" ht="5.25" customHeight="1" thickBot="1"/>
    <row r="26" spans="2:10" s="1" customFormat="1" ht="18" customHeight="1">
      <c r="B26" s="14" t="s">
        <v>52</v>
      </c>
      <c r="C26" s="15"/>
      <c r="D26" s="15"/>
      <c r="E26" s="15"/>
      <c r="F26" s="15"/>
      <c r="G26" s="15"/>
      <c r="H26" s="15"/>
      <c r="I26" s="15"/>
      <c r="J26" s="16"/>
    </row>
    <row r="27" spans="2:10" s="1" customFormat="1" ht="121.5" customHeight="1" thickBot="1">
      <c r="B27" s="17"/>
      <c r="C27" s="18"/>
      <c r="D27" s="18"/>
      <c r="E27" s="18"/>
      <c r="F27" s="18"/>
      <c r="G27" s="18"/>
      <c r="H27" s="18"/>
      <c r="I27" s="18"/>
      <c r="J27" s="19"/>
    </row>
  </sheetData>
  <mergeCells count="42">
    <mergeCell ref="B17:C17"/>
    <mergeCell ref="B18:C18"/>
    <mergeCell ref="B19:C19"/>
    <mergeCell ref="I4:J4"/>
    <mergeCell ref="G16:H16"/>
    <mergeCell ref="G17:H17"/>
    <mergeCell ref="G18:H18"/>
    <mergeCell ref="G19:H19"/>
    <mergeCell ref="B13:C13"/>
    <mergeCell ref="B14:C14"/>
    <mergeCell ref="B15:C15"/>
    <mergeCell ref="B16:C16"/>
    <mergeCell ref="B9:C9"/>
    <mergeCell ref="B10:C10"/>
    <mergeCell ref="B11:C11"/>
    <mergeCell ref="B12:C12"/>
    <mergeCell ref="B2:J2"/>
    <mergeCell ref="C21:F21"/>
    <mergeCell ref="C22:F22"/>
    <mergeCell ref="G9:H9"/>
    <mergeCell ref="G10:H10"/>
    <mergeCell ref="G11:H11"/>
    <mergeCell ref="G12:H12"/>
    <mergeCell ref="G13:H13"/>
    <mergeCell ref="G14:H14"/>
    <mergeCell ref="G15:H15"/>
    <mergeCell ref="C8:J8"/>
    <mergeCell ref="C5:F5"/>
    <mergeCell ref="C6:J6"/>
    <mergeCell ref="I5:J5"/>
    <mergeCell ref="G5:H5"/>
    <mergeCell ref="C7:J7"/>
    <mergeCell ref="I24:J24"/>
    <mergeCell ref="I20:J20"/>
    <mergeCell ref="I21:J21"/>
    <mergeCell ref="I22:J22"/>
    <mergeCell ref="I23:J23"/>
    <mergeCell ref="C23:F23"/>
    <mergeCell ref="C24:F24"/>
    <mergeCell ref="G20:G24"/>
    <mergeCell ref="C20:D20"/>
    <mergeCell ref="E20:F20"/>
  </mergeCells>
  <phoneticPr fontId="2" type="noConversion"/>
  <printOptions horizontalCentered="1" verticalCentered="1"/>
  <pageMargins left="0.74803149606299213" right="0.74803149606299213" top="0.98425196850393704" bottom="0.98425196850393704" header="0.51181102362204722" footer="0.51181102362204722"/>
  <pageSetup paperSize="9" orientation="portrait" blackAndWhite="1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InBook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Orange</dc:creator>
  <cp:keywords/>
  <dc:description/>
  <cp:lastModifiedBy/>
  <cp:revision/>
  <dcterms:created xsi:type="dcterms:W3CDTF">2004-01-03T16:47:39Z</dcterms:created>
  <dcterms:modified xsi:type="dcterms:W3CDTF">2025-12-06T15:17:11Z</dcterms:modified>
  <cp:category/>
  <cp:contentStatus/>
</cp:coreProperties>
</file>
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 defaultThemeVersion="124226"/>
  <xr:revisionPtr revIDLastSave="0" documentId="8_{BF90549F-E493-4C93-A99A-C4C001C5524C}" xr6:coauthVersionLast="47" xr6:coauthVersionMax="47" xr10:uidLastSave="{00000000-0000-0000-0000-000000000000}"/>
  <bookViews>
    <workbookView xWindow="0" yWindow="0" windowWidth="28800" windowHeight="12030" xr2:uid="{00000000-000D-0000-FFFF-FFFF00000000}"/>
  </bookViews>
  <sheets>
    <sheet name="거래명세표" sheetId="1" r:id="rId1"/>
  </sheets>
  <definedNames>
    <definedName name="_xlnm.Print_Area" localSheetId="0">거래명세표!$A$1:$P$34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" l="1"/>
  <c r="K11" i="1"/>
  <c r="N11" i="1" s="1"/>
  <c r="M33" i="1"/>
  <c r="K10" i="1" l="1"/>
  <c r="N10" i="1" s="1"/>
  <c r="K31" i="1" s="1"/>
  <c r="I29" i="1" l="1"/>
  <c r="K29" i="1" l="1"/>
  <c r="I28" i="1"/>
  <c r="K28" i="1" s="1"/>
  <c r="I27" i="1"/>
  <c r="K27" i="1" s="1"/>
  <c r="I26" i="1"/>
  <c r="K26" i="1" s="1"/>
  <c r="I25" i="1"/>
  <c r="K25" i="1" s="1"/>
  <c r="I24" i="1"/>
  <c r="K24" i="1" s="1"/>
  <c r="I23" i="1"/>
  <c r="K23" i="1" s="1"/>
  <c r="I22" i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K30" i="1" l="1"/>
  <c r="D8" i="1" l="1"/>
</calcChain>
</file>

<file path=xl/sharedStrings.xml><?xml version="1.0" encoding="utf-8"?>
<sst xmlns="http://schemas.openxmlformats.org/spreadsheetml/2006/main" count="42" uniqueCount="41">
  <si>
    <t>거 래 명 세 표</t>
    <phoneticPr fontId="1" type="noConversion"/>
  </si>
  <si>
    <t>공
급
자</t>
    <phoneticPr fontId="1" type="noConversion"/>
  </si>
  <si>
    <t>등록번호</t>
    <phoneticPr fontId="1" type="noConversion"/>
  </si>
  <si>
    <t>849-63-00642</t>
    <phoneticPr fontId="1" type="noConversion"/>
  </si>
  <si>
    <t>2025 년</t>
    <phoneticPr fontId="1" type="noConversion"/>
  </si>
  <si>
    <t>8 월</t>
    <phoneticPr fontId="1" type="noConversion"/>
  </si>
  <si>
    <t>20 일</t>
    <phoneticPr fontId="1" type="noConversion"/>
  </si>
  <si>
    <t>상호</t>
    <phoneticPr fontId="1" type="noConversion"/>
  </si>
  <si>
    <t>하비브라운</t>
    <phoneticPr fontId="1" type="noConversion"/>
  </si>
  <si>
    <t>성  명</t>
    <phoneticPr fontId="1" type="noConversion"/>
  </si>
  <si>
    <t xml:space="preserve"> 이수진</t>
    <phoneticPr fontId="1" type="noConversion"/>
  </si>
  <si>
    <t>사업장
소재지</t>
    <phoneticPr fontId="1" type="noConversion"/>
  </si>
  <si>
    <t xml:space="preserve">대구북구 칠성남로37길 7-28, 501 </t>
    <phoneticPr fontId="1" type="noConversion"/>
  </si>
  <si>
    <t>거래처명</t>
  </si>
  <si>
    <t xml:space="preserve"> 귀하</t>
  </si>
  <si>
    <t>업태</t>
    <phoneticPr fontId="1" type="noConversion"/>
  </si>
  <si>
    <t>도소매</t>
    <phoneticPr fontId="1" type="noConversion"/>
  </si>
  <si>
    <t>종  목</t>
    <phoneticPr fontId="1" type="noConversion"/>
  </si>
  <si>
    <t>전자상거래</t>
    <phoneticPr fontId="1" type="noConversion"/>
  </si>
  <si>
    <t>아래와 같이 계산합니다.</t>
    <phoneticPr fontId="1" type="noConversion"/>
  </si>
  <si>
    <t>전화번호</t>
    <phoneticPr fontId="1" type="noConversion"/>
  </si>
  <si>
    <t>010-4874-8419</t>
    <phoneticPr fontId="1" type="noConversion"/>
  </si>
  <si>
    <t>합계
금액</t>
    <phoneticPr fontId="1" type="noConversion"/>
  </si>
  <si>
    <t>원정</t>
    <phoneticPr fontId="1" type="noConversion"/>
  </si>
  <si>
    <t>일자</t>
    <phoneticPr fontId="1" type="noConversion"/>
  </si>
  <si>
    <t>품목</t>
    <phoneticPr fontId="1" type="noConversion"/>
  </si>
  <si>
    <t>규격</t>
    <phoneticPr fontId="1" type="noConversion"/>
  </si>
  <si>
    <t>수량</t>
    <phoneticPr fontId="1" type="noConversion"/>
  </si>
  <si>
    <t>단가</t>
    <phoneticPr fontId="1" type="noConversion"/>
  </si>
  <si>
    <t>공급가액</t>
    <phoneticPr fontId="1" type="noConversion"/>
  </si>
  <si>
    <t>세액</t>
    <phoneticPr fontId="1" type="noConversion"/>
  </si>
  <si>
    <t>8/20</t>
    <phoneticPr fontId="1" type="noConversion"/>
  </si>
  <si>
    <t>우드볼펜 각인상품</t>
    <phoneticPr fontId="1" type="noConversion"/>
  </si>
  <si>
    <t>1mm</t>
    <phoneticPr fontId="1" type="noConversion"/>
  </si>
  <si>
    <t>배송비</t>
    <phoneticPr fontId="1" type="noConversion"/>
  </si>
  <si>
    <t>소계</t>
    <phoneticPr fontId="1" type="noConversion"/>
  </si>
  <si>
    <t>부가세</t>
    <phoneticPr fontId="1" type="noConversion"/>
  </si>
  <si>
    <t>총합계금액</t>
    <phoneticPr fontId="1" type="noConversion"/>
  </si>
  <si>
    <t>비고</t>
    <phoneticPr fontId="1" type="noConversion"/>
  </si>
  <si>
    <t>인수자</t>
    <phoneticPr fontId="1" type="noConversion"/>
  </si>
  <si>
    <t>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</si>
</sst>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[$₩-412]#,##0"/>
    <numFmt numFmtId="178" formatCode="&quot;₩&quot;#,##0_);[Red]\(&quot;₩&quot;#,##0\)"/>
    <numFmt numFmtId="179" formatCode="mm&quot;월&quot;\ dd&quot;일&quot;"/>
  </numFmts>
  <fonts count="7">
    <font>
      <sz val="12"/>
      <name val="바탕체"/>
      <family val="1"/>
      <charset val="129"/>
    </font>
    <font>
      <sz val="8"/>
      <name val="바탕"/>
      <family val="1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8"/>
      <name val="굴림체"/>
      <family val="3"/>
      <charset val="129"/>
    </font>
    <font>
      <sz val="9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/>
      <top style="double">
        <color indexed="64"/>
      </top>
      <bottom style="thin">
        <color rgb="FF000000"/>
      </bottom>
      <diagonal/>
    </border>
    <border>
      <left/>
      <right style="thin">
        <color indexed="64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double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/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9" xfId="0" applyFont="1" applyFill="1" applyBorder="1" applyAlignment="1">
      <alignment horizontal="left" vertical="center" indent="1"/>
    </xf>
    <xf numFmtId="0" fontId="3" fillId="0" borderId="2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26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 wrapText="1"/>
    </xf>
    <xf numFmtId="0" fontId="3" fillId="0" borderId="33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shrinkToFit="1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  <xf numFmtId="0" fontId="2" fillId="0" borderId="6" xfId="0" applyFont="1" applyFill="1" applyBorder="1" applyAlignment="1">
      <alignment horizontal="center" vertical="center" shrinkToFit="1"/>
    </xf>
    <xf numFmtId="0" fontId="2" fillId="0" borderId="5" xfId="0" applyFont="1" applyFill="1" applyBorder="1" applyAlignment="1">
      <alignment horizontal="center" vertical="center" shrinkToFit="1"/>
    </xf>
    <xf numFmtId="0" fontId="2" fillId="0" borderId="12" xfId="0" applyFont="1" applyFill="1" applyBorder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shrinkToFit="1"/>
    </xf>
    <xf numFmtId="0" fontId="2" fillId="0" borderId="14" xfId="0" applyFont="1" applyFill="1" applyBorder="1" applyAlignment="1">
      <alignment horizontal="center" vertical="center" shrinkToFit="1"/>
    </xf>
    <xf numFmtId="0" fontId="2" fillId="0" borderId="24" xfId="0" applyFont="1" applyFill="1" applyBorder="1" applyAlignment="1">
      <alignment horizontal="center" vertical="center" shrinkToFit="1"/>
    </xf>
    <xf numFmtId="178" fontId="6" fillId="0" borderId="26" xfId="0" applyNumberFormat="1" applyFont="1" applyFill="1" applyBorder="1" applyAlignment="1">
      <alignment horizontal="right" vertical="center"/>
    </xf>
    <xf numFmtId="177" fontId="3" fillId="0" borderId="26" xfId="0" applyNumberFormat="1" applyFont="1" applyFill="1" applyBorder="1" applyAlignment="1">
      <alignment horizontal="center" vertical="center"/>
    </xf>
    <xf numFmtId="177" fontId="3" fillId="0" borderId="27" xfId="0" applyNumberFormat="1" applyFont="1" applyFill="1" applyBorder="1" applyAlignment="1">
      <alignment horizontal="center" vertical="center"/>
    </xf>
    <xf numFmtId="176" fontId="3" fillId="0" borderId="8" xfId="0" applyNumberFormat="1" applyFont="1" applyFill="1" applyBorder="1" applyAlignment="1">
      <alignment horizontal="right" vertical="center"/>
    </xf>
    <xf numFmtId="176" fontId="3" fillId="0" borderId="22" xfId="0" applyNumberFormat="1" applyFont="1" applyFill="1" applyBorder="1" applyAlignment="1">
      <alignment horizontal="right" vertical="center"/>
    </xf>
    <xf numFmtId="176" fontId="6" fillId="0" borderId="13" xfId="0" applyNumberFormat="1" applyFont="1" applyFill="1" applyBorder="1" applyAlignment="1">
      <alignment horizontal="right" vertical="center"/>
    </xf>
    <xf numFmtId="176" fontId="6" fillId="0" borderId="8" xfId="0" applyNumberFormat="1" applyFont="1" applyFill="1" applyBorder="1" applyAlignment="1">
      <alignment horizontal="right" vertical="center"/>
    </xf>
    <xf numFmtId="176" fontId="6" fillId="0" borderId="9" xfId="0" applyNumberFormat="1" applyFont="1" applyFill="1" applyBorder="1" applyAlignment="1">
      <alignment horizontal="right" vertical="center"/>
    </xf>
    <xf numFmtId="0" fontId="2" fillId="0" borderId="35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3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49" fontId="2" fillId="0" borderId="37" xfId="0" quotePrefix="1" applyNumberFormat="1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176" fontId="2" fillId="0" borderId="38" xfId="0" applyNumberFormat="1" applyFont="1" applyFill="1" applyBorder="1" applyAlignment="1">
      <alignment horizontal="right" vertical="center"/>
    </xf>
    <xf numFmtId="176" fontId="2" fillId="0" borderId="39" xfId="0" applyNumberFormat="1" applyFont="1" applyFill="1" applyBorder="1" applyAlignment="1">
      <alignment horizontal="right" vertical="center"/>
    </xf>
    <xf numFmtId="176" fontId="2" fillId="0" borderId="42" xfId="0" applyNumberFormat="1" applyFont="1" applyFill="1" applyBorder="1" applyAlignment="1">
      <alignment horizontal="right" vertical="center"/>
    </xf>
    <xf numFmtId="176" fontId="2" fillId="0" borderId="43" xfId="0" applyNumberFormat="1" applyFont="1" applyFill="1" applyBorder="1" applyAlignment="1">
      <alignment horizontal="right" vertical="center"/>
    </xf>
    <xf numFmtId="176" fontId="2" fillId="0" borderId="44" xfId="0" applyNumberFormat="1" applyFont="1" applyFill="1" applyBorder="1" applyAlignment="1">
      <alignment horizontal="right" vertical="center"/>
    </xf>
    <xf numFmtId="179" fontId="2" fillId="0" borderId="45" xfId="0" quotePrefix="1" applyNumberFormat="1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horizontal="center" vertical="center"/>
    </xf>
    <xf numFmtId="176" fontId="2" fillId="0" borderId="46" xfId="0" applyNumberFormat="1" applyFont="1" applyFill="1" applyBorder="1" applyAlignment="1">
      <alignment horizontal="right" vertical="center"/>
    </xf>
    <xf numFmtId="176" fontId="2" fillId="0" borderId="48" xfId="0" applyNumberFormat="1" applyFont="1" applyFill="1" applyBorder="1" applyAlignment="1">
      <alignment horizontal="right" vertical="center"/>
    </xf>
    <xf numFmtId="176" fontId="2" fillId="0" borderId="47" xfId="0" applyNumberFormat="1" applyFont="1" applyFill="1" applyBorder="1" applyAlignment="1">
      <alignment horizontal="right" vertical="center"/>
    </xf>
    <xf numFmtId="176" fontId="2" fillId="0" borderId="49" xfId="0" applyNumberFormat="1" applyFont="1" applyFill="1" applyBorder="1" applyAlignment="1">
      <alignment horizontal="right" vertical="center"/>
    </xf>
    <xf numFmtId="0" fontId="2" fillId="0" borderId="45" xfId="0" quotePrefix="1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vertical="center"/>
    </xf>
    <xf numFmtId="176" fontId="2" fillId="0" borderId="46" xfId="0" applyNumberFormat="1" applyFont="1" applyFill="1" applyBorder="1" applyAlignment="1">
      <alignment horizontal="center" vertical="center"/>
    </xf>
    <xf numFmtId="176" fontId="2" fillId="0" borderId="47" xfId="0" applyNumberFormat="1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horizontal="center" vertical="center"/>
    </xf>
    <xf numFmtId="176" fontId="2" fillId="0" borderId="48" xfId="0" applyNumberFormat="1" applyFont="1" applyFill="1" applyBorder="1" applyAlignment="1">
      <alignment horizontal="right" vertical="center"/>
    </xf>
    <xf numFmtId="176" fontId="2" fillId="0" borderId="49" xfId="0" applyNumberFormat="1" applyFont="1" applyFill="1" applyBorder="1" applyAlignment="1">
      <alignment horizontal="right" vertical="center"/>
    </xf>
    <xf numFmtId="176" fontId="2" fillId="0" borderId="51" xfId="0" applyNumberFormat="1" applyFont="1" applyFill="1" applyBorder="1" applyAlignment="1">
      <alignment horizontal="center" vertical="center"/>
    </xf>
    <xf numFmtId="176" fontId="2" fillId="0" borderId="48" xfId="0" applyNumberFormat="1" applyFont="1" applyFill="1" applyBorder="1" applyAlignment="1">
      <alignment horizontal="center" vertical="center"/>
    </xf>
    <xf numFmtId="176" fontId="2" fillId="0" borderId="52" xfId="0" applyNumberFormat="1" applyFont="1" applyFill="1" applyBorder="1" applyAlignment="1">
      <alignment horizontal="center" vertical="center"/>
    </xf>
    <xf numFmtId="176" fontId="2" fillId="0" borderId="53" xfId="0" applyNumberFormat="1" applyFont="1" applyFill="1" applyBorder="1" applyAlignment="1">
      <alignment horizontal="center" vertical="center"/>
    </xf>
    <xf numFmtId="176" fontId="2" fillId="0" borderId="54" xfId="0" applyNumberFormat="1" applyFont="1" applyFill="1" applyBorder="1" applyAlignment="1">
      <alignment horizontal="center" vertical="center"/>
    </xf>
    <xf numFmtId="176" fontId="2" fillId="0" borderId="56" xfId="0" applyNumberFormat="1" applyFont="1" applyFill="1" applyBorder="1" applyAlignment="1">
      <alignment horizontal="right" vertical="center"/>
    </xf>
    <xf numFmtId="176" fontId="2" fillId="0" borderId="57" xfId="0" applyNumberFormat="1" applyFont="1" applyFill="1" applyBorder="1" applyAlignment="1">
      <alignment horizontal="right" vertical="center"/>
    </xf>
    <xf numFmtId="0" fontId="2" fillId="0" borderId="10" xfId="0" applyFont="1" applyFill="1" applyBorder="1" applyAlignment="1">
      <alignment horizontal="center" vertical="center" wrapText="1"/>
    </xf>
    <xf numFmtId="176" fontId="2" fillId="0" borderId="50" xfId="0" applyNumberFormat="1" applyFont="1" applyFill="1" applyBorder="1" applyAlignment="1">
      <alignment horizontal="right" vertical="center"/>
    </xf>
    <xf numFmtId="176" fontId="2" fillId="0" borderId="55" xfId="0" applyNumberFormat="1" applyFont="1" applyFill="1" applyBorder="1" applyAlignment="1">
      <alignment horizontal="right" vertical="center"/>
    </xf>
    <xf numFmtId="176" fontId="2" fillId="0" borderId="38" xfId="0" applyNumberFormat="1" applyFont="1" applyFill="1" applyBorder="1" applyAlignment="1">
      <alignment horizontal="center" vertical="center"/>
    </xf>
    <xf numFmtId="176" fontId="2" fillId="0" borderId="39" xfId="0" applyNumberFormat="1" applyFont="1" applyFill="1" applyBorder="1" applyAlignment="1">
      <alignment horizontal="center" vertical="center"/>
    </xf>
    <xf numFmtId="176" fontId="2" fillId="0" borderId="46" xfId="0" applyNumberFormat="1" applyFont="1" applyFill="1" applyBorder="1" applyAlignment="1">
      <alignment horizontal="center" vertical="center"/>
    </xf>
    <xf numFmtId="176" fontId="2" fillId="0" borderId="48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413230</xdr:colOff>
      <xdr:row>2</xdr:row>
      <xdr:rowOff>193432</xdr:rowOff>
    </xdr:from>
    <xdr:to>
      <xdr:col>15</xdr:col>
      <xdr:colOff>47976</xdr:colOff>
      <xdr:row>4</xdr:row>
      <xdr:rowOff>97399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0584" y="990601"/>
          <a:ext cx="443638" cy="478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6"/>
  <sheetViews>
    <sheetView showGridLines="0" showZeros="0" tabSelected="1" topLeftCell="A12" zoomScaleNormal="100" workbookViewId="0">
      <selection activeCell="G10" sqref="G10:H29"/>
    </sheetView>
  </sheetViews>
  <sheetFormatPr defaultColWidth="9" defaultRowHeight="12"/>
  <cols>
    <col min="1" max="1" width="1.625" style="3" customWidth="1"/>
    <col min="2" max="2" width="5.5" style="3" customWidth="1"/>
    <col min="3" max="3" width="6.625" style="3" customWidth="1"/>
    <col min="4" max="4" width="15" style="3" customWidth="1"/>
    <col min="5" max="5" width="2.25" style="3" hidden="1" customWidth="1"/>
    <col min="6" max="6" width="6.125" style="3" customWidth="1"/>
    <col min="7" max="7" width="1.625" style="3" customWidth="1"/>
    <col min="8" max="8" width="3.625" style="3" customWidth="1"/>
    <col min="9" max="10" width="6.5" style="3" customWidth="1"/>
    <col min="11" max="11" width="4.5" style="3" customWidth="1"/>
    <col min="12" max="12" width="8.625" style="3" customWidth="1"/>
    <col min="13" max="13" width="13" style="3" customWidth="1"/>
    <col min="14" max="14" width="6.25" style="3" customWidth="1"/>
    <col min="15" max="15" width="10.625" style="3" customWidth="1"/>
    <col min="16" max="16" width="1.625" style="3" customWidth="1"/>
    <col min="17" max="16384" width="9" style="3"/>
  </cols>
  <sheetData>
    <row r="1" spans="2:15" ht="5.25" customHeight="1" thickBot="1"/>
    <row r="2" spans="2:15" ht="58.5" customHeight="1">
      <c r="B2" s="25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</row>
    <row r="3" spans="2:15" ht="23.1" customHeight="1">
      <c r="B3" s="30"/>
      <c r="C3" s="31"/>
      <c r="D3" s="31"/>
      <c r="E3" s="31"/>
      <c r="F3" s="31"/>
      <c r="G3" s="31"/>
      <c r="H3" s="31"/>
      <c r="I3" s="31"/>
      <c r="J3" s="20"/>
      <c r="K3" s="34" t="s">
        <v>1</v>
      </c>
      <c r="L3" s="1" t="s">
        <v>2</v>
      </c>
      <c r="M3" s="38" t="s">
        <v>3</v>
      </c>
      <c r="N3" s="39"/>
      <c r="O3" s="40"/>
    </row>
    <row r="4" spans="2:15" ht="23.1" customHeight="1">
      <c r="B4" s="19"/>
      <c r="C4" s="4"/>
      <c r="D4" s="21" t="s">
        <v>4</v>
      </c>
      <c r="E4" s="4"/>
      <c r="F4" s="21" t="s">
        <v>5</v>
      </c>
      <c r="G4" s="4"/>
      <c r="H4" s="21" t="s">
        <v>6</v>
      </c>
      <c r="I4" s="20"/>
      <c r="J4" s="20"/>
      <c r="K4" s="35"/>
      <c r="L4" s="1" t="s">
        <v>7</v>
      </c>
      <c r="M4" s="6" t="s">
        <v>8</v>
      </c>
      <c r="N4" s="1" t="s">
        <v>9</v>
      </c>
      <c r="O4" s="18" t="s">
        <v>10</v>
      </c>
    </row>
    <row r="5" spans="2:15" ht="24" customHeight="1">
      <c r="B5" s="30"/>
      <c r="C5" s="31"/>
      <c r="D5" s="31"/>
      <c r="E5" s="31"/>
      <c r="F5" s="31"/>
      <c r="G5" s="31"/>
      <c r="H5" s="31"/>
      <c r="I5" s="31"/>
      <c r="J5" s="20"/>
      <c r="K5" s="35"/>
      <c r="L5" s="12" t="s">
        <v>11</v>
      </c>
      <c r="M5" s="41" t="s">
        <v>12</v>
      </c>
      <c r="N5" s="42"/>
      <c r="O5" s="43"/>
    </row>
    <row r="6" spans="2:15" ht="23.1" customHeight="1">
      <c r="B6" s="19"/>
      <c r="C6" s="32" t="s">
        <v>13</v>
      </c>
      <c r="D6" s="33"/>
      <c r="E6" s="33"/>
      <c r="F6" s="33"/>
      <c r="G6" s="33"/>
      <c r="H6" s="4" t="s">
        <v>14</v>
      </c>
      <c r="I6" s="20"/>
      <c r="J6" s="20"/>
      <c r="K6" s="35"/>
      <c r="L6" s="1" t="s">
        <v>15</v>
      </c>
      <c r="M6" s="6" t="s">
        <v>16</v>
      </c>
      <c r="N6" s="1" t="s">
        <v>17</v>
      </c>
      <c r="O6" s="5" t="s">
        <v>18</v>
      </c>
    </row>
    <row r="7" spans="2:15" ht="23.1" customHeight="1" thickBot="1">
      <c r="B7" s="36" t="s">
        <v>19</v>
      </c>
      <c r="C7" s="37"/>
      <c r="D7" s="37"/>
      <c r="E7" s="37"/>
      <c r="F7" s="37"/>
      <c r="G7" s="37"/>
      <c r="H7" s="37"/>
      <c r="I7" s="37"/>
      <c r="J7" s="7"/>
      <c r="K7" s="35"/>
      <c r="L7" s="9" t="s">
        <v>20</v>
      </c>
      <c r="M7" s="44" t="s">
        <v>21</v>
      </c>
      <c r="N7" s="45"/>
      <c r="O7" s="46"/>
    </row>
    <row r="8" spans="2:15" ht="33.75" customHeight="1" thickBot="1">
      <c r="B8" s="10" t="s">
        <v>22</v>
      </c>
      <c r="C8" s="11"/>
      <c r="D8" s="47">
        <f>K32+N32</f>
        <v>18810</v>
      </c>
      <c r="E8" s="47"/>
      <c r="F8" s="47"/>
      <c r="G8" s="47"/>
      <c r="H8" s="47"/>
      <c r="I8" s="47"/>
      <c r="J8" s="47"/>
      <c r="K8" s="47"/>
      <c r="L8" s="14" t="s">
        <v>23</v>
      </c>
      <c r="M8" s="48"/>
      <c r="N8" s="48"/>
      <c r="O8" s="49"/>
    </row>
    <row r="9" spans="2:15" ht="24.95" customHeight="1">
      <c r="B9" s="17" t="s">
        <v>24</v>
      </c>
      <c r="C9" s="28" t="s">
        <v>25</v>
      </c>
      <c r="D9" s="29"/>
      <c r="E9" s="28" t="s">
        <v>26</v>
      </c>
      <c r="F9" s="29"/>
      <c r="G9" s="28" t="s">
        <v>27</v>
      </c>
      <c r="H9" s="22"/>
      <c r="I9" s="28" t="s">
        <v>28</v>
      </c>
      <c r="J9" s="29"/>
      <c r="K9" s="24" t="s">
        <v>29</v>
      </c>
      <c r="L9" s="24"/>
      <c r="M9" s="24"/>
      <c r="N9" s="22" t="s">
        <v>30</v>
      </c>
      <c r="O9" s="23"/>
    </row>
    <row r="10" spans="2:15" ht="23.1" customHeight="1">
      <c r="B10" s="61" t="s">
        <v>31</v>
      </c>
      <c r="C10" s="62" t="s">
        <v>32</v>
      </c>
      <c r="D10" s="63"/>
      <c r="E10" s="64" t="s">
        <v>33</v>
      </c>
      <c r="F10" s="65"/>
      <c r="G10" s="96">
        <v>1</v>
      </c>
      <c r="H10" s="97"/>
      <c r="I10" s="66">
        <v>14400</v>
      </c>
      <c r="J10" s="67"/>
      <c r="K10" s="66">
        <f>G10*I10</f>
        <v>14400</v>
      </c>
      <c r="L10" s="68"/>
      <c r="M10" s="67"/>
      <c r="N10" s="69">
        <f>K10*0.1</f>
        <v>1440</v>
      </c>
      <c r="O10" s="70"/>
    </row>
    <row r="11" spans="2:15" ht="23.1" customHeight="1">
      <c r="B11" s="71" t="s">
        <v>31</v>
      </c>
      <c r="C11" s="72" t="s">
        <v>34</v>
      </c>
      <c r="D11" s="73"/>
      <c r="E11" s="72"/>
      <c r="F11" s="73"/>
      <c r="G11" s="80">
        <v>1</v>
      </c>
      <c r="H11" s="87"/>
      <c r="I11" s="74">
        <v>2700</v>
      </c>
      <c r="J11" s="76"/>
      <c r="K11" s="74">
        <f>G11*I11</f>
        <v>2700</v>
      </c>
      <c r="L11" s="75"/>
      <c r="M11" s="76"/>
      <c r="N11" s="74">
        <f>K11*0.1</f>
        <v>270</v>
      </c>
      <c r="O11" s="77"/>
    </row>
    <row r="12" spans="2:15" ht="23.1" customHeight="1">
      <c r="B12" s="78"/>
      <c r="C12" s="72"/>
      <c r="D12" s="73"/>
      <c r="E12" s="72"/>
      <c r="F12" s="73"/>
      <c r="G12" s="80"/>
      <c r="H12" s="87"/>
      <c r="I12" s="74"/>
      <c r="J12" s="76"/>
      <c r="K12" s="74"/>
      <c r="L12" s="75"/>
      <c r="M12" s="76"/>
      <c r="N12" s="74"/>
      <c r="O12" s="77"/>
    </row>
    <row r="13" spans="2:15" ht="23.1" customHeight="1">
      <c r="B13" s="78"/>
      <c r="C13" s="72"/>
      <c r="D13" s="73"/>
      <c r="E13" s="72"/>
      <c r="F13" s="73"/>
      <c r="G13" s="80"/>
      <c r="H13" s="87"/>
      <c r="I13" s="74"/>
      <c r="J13" s="76"/>
      <c r="K13" s="74"/>
      <c r="L13" s="75"/>
      <c r="M13" s="76"/>
      <c r="N13" s="74"/>
      <c r="O13" s="77"/>
    </row>
    <row r="14" spans="2:15" ht="23.1" customHeight="1">
      <c r="B14" s="78"/>
      <c r="C14" s="72"/>
      <c r="D14" s="73"/>
      <c r="E14" s="72"/>
      <c r="F14" s="73"/>
      <c r="G14" s="80"/>
      <c r="H14" s="87"/>
      <c r="I14" s="74"/>
      <c r="J14" s="76"/>
      <c r="K14" s="74"/>
      <c r="L14" s="75"/>
      <c r="M14" s="76"/>
      <c r="N14" s="74"/>
      <c r="O14" s="77"/>
    </row>
    <row r="15" spans="2:15" ht="23.1" customHeight="1">
      <c r="B15" s="79"/>
      <c r="C15" s="72"/>
      <c r="D15" s="73"/>
      <c r="E15" s="72"/>
      <c r="F15" s="73"/>
      <c r="G15" s="80"/>
      <c r="H15" s="87"/>
      <c r="I15" s="80">
        <f t="shared" ref="I15:I28" si="0">INT(N15/1.1)</f>
        <v>0</v>
      </c>
      <c r="J15" s="81"/>
      <c r="K15" s="94">
        <f t="shared" ref="K15:K28" si="1">I15*0.1</f>
        <v>0</v>
      </c>
      <c r="L15" s="94"/>
      <c r="M15" s="94"/>
      <c r="N15" s="75"/>
      <c r="O15" s="77"/>
    </row>
    <row r="16" spans="2:15" ht="23.1" customHeight="1">
      <c r="B16" s="79"/>
      <c r="C16" s="72"/>
      <c r="D16" s="73"/>
      <c r="E16" s="72"/>
      <c r="F16" s="73"/>
      <c r="G16" s="80"/>
      <c r="H16" s="87"/>
      <c r="I16" s="80">
        <f t="shared" si="0"/>
        <v>0</v>
      </c>
      <c r="J16" s="81"/>
      <c r="K16" s="94">
        <f t="shared" si="1"/>
        <v>0</v>
      </c>
      <c r="L16" s="94"/>
      <c r="M16" s="94"/>
      <c r="N16" s="75"/>
      <c r="O16" s="77"/>
    </row>
    <row r="17" spans="2:15" ht="23.1" customHeight="1">
      <c r="B17" s="79"/>
      <c r="C17" s="72"/>
      <c r="D17" s="73"/>
      <c r="E17" s="82"/>
      <c r="F17" s="83"/>
      <c r="G17" s="98"/>
      <c r="H17" s="99"/>
      <c r="I17" s="80">
        <f t="shared" si="0"/>
        <v>0</v>
      </c>
      <c r="J17" s="81"/>
      <c r="K17" s="94">
        <f t="shared" si="1"/>
        <v>0</v>
      </c>
      <c r="L17" s="94"/>
      <c r="M17" s="94"/>
      <c r="N17" s="84"/>
      <c r="O17" s="85"/>
    </row>
    <row r="18" spans="2:15" ht="23.1" customHeight="1">
      <c r="B18" s="79"/>
      <c r="C18" s="72"/>
      <c r="D18" s="73"/>
      <c r="E18" s="82"/>
      <c r="F18" s="83"/>
      <c r="G18" s="98"/>
      <c r="H18" s="99"/>
      <c r="I18" s="80">
        <f t="shared" si="0"/>
        <v>0</v>
      </c>
      <c r="J18" s="81"/>
      <c r="K18" s="94">
        <f t="shared" si="1"/>
        <v>0</v>
      </c>
      <c r="L18" s="94"/>
      <c r="M18" s="94"/>
      <c r="N18" s="84"/>
      <c r="O18" s="85"/>
    </row>
    <row r="19" spans="2:15" ht="23.1" customHeight="1">
      <c r="B19" s="79"/>
      <c r="C19" s="72"/>
      <c r="D19" s="73"/>
      <c r="E19" s="82"/>
      <c r="F19" s="83"/>
      <c r="G19" s="98"/>
      <c r="H19" s="99"/>
      <c r="I19" s="80">
        <f t="shared" si="0"/>
        <v>0</v>
      </c>
      <c r="J19" s="81"/>
      <c r="K19" s="94">
        <f t="shared" si="1"/>
        <v>0</v>
      </c>
      <c r="L19" s="94"/>
      <c r="M19" s="94"/>
      <c r="N19" s="84"/>
      <c r="O19" s="85"/>
    </row>
    <row r="20" spans="2:15" ht="23.1" customHeight="1">
      <c r="B20" s="79"/>
      <c r="C20" s="72"/>
      <c r="D20" s="73"/>
      <c r="E20" s="82"/>
      <c r="F20" s="83"/>
      <c r="G20" s="98"/>
      <c r="H20" s="99"/>
      <c r="I20" s="80">
        <f t="shared" si="0"/>
        <v>0</v>
      </c>
      <c r="J20" s="81"/>
      <c r="K20" s="94">
        <f t="shared" si="1"/>
        <v>0</v>
      </c>
      <c r="L20" s="94"/>
      <c r="M20" s="94"/>
      <c r="N20" s="84"/>
      <c r="O20" s="85"/>
    </row>
    <row r="21" spans="2:15" ht="23.1" customHeight="1">
      <c r="B21" s="79"/>
      <c r="C21" s="72"/>
      <c r="D21" s="73"/>
      <c r="E21" s="82"/>
      <c r="F21" s="83"/>
      <c r="G21" s="98"/>
      <c r="H21" s="99"/>
      <c r="I21" s="80">
        <f t="shared" si="0"/>
        <v>0</v>
      </c>
      <c r="J21" s="81"/>
      <c r="K21" s="94">
        <f t="shared" si="1"/>
        <v>0</v>
      </c>
      <c r="L21" s="94"/>
      <c r="M21" s="94"/>
      <c r="N21" s="84"/>
      <c r="O21" s="85"/>
    </row>
    <row r="22" spans="2:15" ht="23.1" customHeight="1">
      <c r="B22" s="79"/>
      <c r="C22" s="72"/>
      <c r="D22" s="73"/>
      <c r="E22" s="82"/>
      <c r="F22" s="83"/>
      <c r="G22" s="98"/>
      <c r="H22" s="99"/>
      <c r="I22" s="80">
        <f t="shared" si="0"/>
        <v>0</v>
      </c>
      <c r="J22" s="81"/>
      <c r="K22" s="94">
        <f t="shared" si="1"/>
        <v>0</v>
      </c>
      <c r="L22" s="94"/>
      <c r="M22" s="94"/>
      <c r="N22" s="84"/>
      <c r="O22" s="85"/>
    </row>
    <row r="23" spans="2:15" ht="23.1" customHeight="1">
      <c r="B23" s="79"/>
      <c r="C23" s="72"/>
      <c r="D23" s="73"/>
      <c r="E23" s="82"/>
      <c r="F23" s="83"/>
      <c r="G23" s="98"/>
      <c r="H23" s="99"/>
      <c r="I23" s="80">
        <f t="shared" si="0"/>
        <v>0</v>
      </c>
      <c r="J23" s="81"/>
      <c r="K23" s="94">
        <f t="shared" si="1"/>
        <v>0</v>
      </c>
      <c r="L23" s="94"/>
      <c r="M23" s="94"/>
      <c r="N23" s="84"/>
      <c r="O23" s="85"/>
    </row>
    <row r="24" spans="2:15" ht="23.1" customHeight="1">
      <c r="B24" s="79"/>
      <c r="C24" s="72"/>
      <c r="D24" s="73"/>
      <c r="E24" s="82"/>
      <c r="F24" s="83"/>
      <c r="G24" s="98"/>
      <c r="H24" s="99"/>
      <c r="I24" s="80">
        <f t="shared" si="0"/>
        <v>0</v>
      </c>
      <c r="J24" s="81"/>
      <c r="K24" s="94">
        <f t="shared" si="1"/>
        <v>0</v>
      </c>
      <c r="L24" s="94"/>
      <c r="M24" s="94"/>
      <c r="N24" s="84"/>
      <c r="O24" s="85"/>
    </row>
    <row r="25" spans="2:15" ht="23.1" customHeight="1">
      <c r="B25" s="79"/>
      <c r="C25" s="72"/>
      <c r="D25" s="73"/>
      <c r="E25" s="72"/>
      <c r="F25" s="73"/>
      <c r="G25" s="80"/>
      <c r="H25" s="87"/>
      <c r="I25" s="80">
        <f t="shared" si="0"/>
        <v>0</v>
      </c>
      <c r="J25" s="81"/>
      <c r="K25" s="94">
        <f t="shared" si="1"/>
        <v>0</v>
      </c>
      <c r="L25" s="94"/>
      <c r="M25" s="94"/>
      <c r="N25" s="75"/>
      <c r="O25" s="77"/>
    </row>
    <row r="26" spans="2:15" ht="23.1" customHeight="1">
      <c r="B26" s="79"/>
      <c r="C26" s="72"/>
      <c r="D26" s="73"/>
      <c r="E26" s="72"/>
      <c r="F26" s="73"/>
      <c r="G26" s="80"/>
      <c r="H26" s="87"/>
      <c r="I26" s="80">
        <f t="shared" si="0"/>
        <v>0</v>
      </c>
      <c r="J26" s="81"/>
      <c r="K26" s="94">
        <f t="shared" si="1"/>
        <v>0</v>
      </c>
      <c r="L26" s="94"/>
      <c r="M26" s="94"/>
      <c r="N26" s="75"/>
      <c r="O26" s="77"/>
    </row>
    <row r="27" spans="2:15" ht="23.1" customHeight="1">
      <c r="B27" s="79"/>
      <c r="C27" s="72"/>
      <c r="D27" s="73"/>
      <c r="E27" s="72"/>
      <c r="F27" s="73"/>
      <c r="G27" s="80"/>
      <c r="H27" s="87"/>
      <c r="I27" s="80">
        <f t="shared" si="0"/>
        <v>0</v>
      </c>
      <c r="J27" s="81"/>
      <c r="K27" s="94">
        <f t="shared" si="1"/>
        <v>0</v>
      </c>
      <c r="L27" s="94"/>
      <c r="M27" s="94"/>
      <c r="N27" s="75"/>
      <c r="O27" s="77"/>
    </row>
    <row r="28" spans="2:15" ht="23.1" customHeight="1">
      <c r="B28" s="79"/>
      <c r="C28" s="72"/>
      <c r="D28" s="73"/>
      <c r="E28" s="72"/>
      <c r="F28" s="73"/>
      <c r="G28" s="80"/>
      <c r="H28" s="87"/>
      <c r="I28" s="80">
        <f t="shared" si="0"/>
        <v>0</v>
      </c>
      <c r="J28" s="81"/>
      <c r="K28" s="94">
        <f t="shared" si="1"/>
        <v>0</v>
      </c>
      <c r="L28" s="94"/>
      <c r="M28" s="94"/>
      <c r="N28" s="75"/>
      <c r="O28" s="77"/>
    </row>
    <row r="29" spans="2:15" ht="23.1" customHeight="1">
      <c r="B29" s="79"/>
      <c r="C29" s="72"/>
      <c r="D29" s="73"/>
      <c r="E29" s="72"/>
      <c r="F29" s="73"/>
      <c r="G29" s="80"/>
      <c r="H29" s="87"/>
      <c r="I29" s="80">
        <f t="shared" ref="I29" si="2">INT(N29/1.1)</f>
        <v>0</v>
      </c>
      <c r="J29" s="81"/>
      <c r="K29" s="94">
        <f>B29*0.1</f>
        <v>0</v>
      </c>
      <c r="L29" s="94"/>
      <c r="M29" s="94"/>
      <c r="N29" s="75"/>
      <c r="O29" s="77"/>
    </row>
    <row r="30" spans="2:15" ht="23.1" customHeight="1">
      <c r="B30" s="86" t="s">
        <v>35</v>
      </c>
      <c r="C30" s="87"/>
      <c r="D30" s="87"/>
      <c r="E30" s="87"/>
      <c r="F30" s="87"/>
      <c r="G30" s="87"/>
      <c r="H30" s="87"/>
      <c r="I30" s="87"/>
      <c r="J30" s="81"/>
      <c r="K30" s="94">
        <f>SUM(K10:M29)</f>
        <v>17100</v>
      </c>
      <c r="L30" s="94"/>
      <c r="M30" s="94"/>
      <c r="N30" s="75"/>
      <c r="O30" s="77"/>
    </row>
    <row r="31" spans="2:15" ht="23.1" customHeight="1">
      <c r="B31" s="88" t="s">
        <v>36</v>
      </c>
      <c r="C31" s="89"/>
      <c r="D31" s="89"/>
      <c r="E31" s="89"/>
      <c r="F31" s="89"/>
      <c r="G31" s="89"/>
      <c r="H31" s="89"/>
      <c r="I31" s="89"/>
      <c r="J31" s="90"/>
      <c r="K31" s="95">
        <f>N10+N11</f>
        <v>1710</v>
      </c>
      <c r="L31" s="95"/>
      <c r="M31" s="95"/>
      <c r="N31" s="91"/>
      <c r="O31" s="92"/>
    </row>
    <row r="32" spans="2:15" s="13" customFormat="1" ht="23.1" customHeight="1">
      <c r="B32" s="58" t="s">
        <v>37</v>
      </c>
      <c r="C32" s="59"/>
      <c r="D32" s="59"/>
      <c r="E32" s="59"/>
      <c r="F32" s="59"/>
      <c r="G32" s="59"/>
      <c r="H32" s="59"/>
      <c r="I32" s="59"/>
      <c r="J32" s="60"/>
      <c r="K32" s="52">
        <f>SUM(K30:M31)</f>
        <v>18810</v>
      </c>
      <c r="L32" s="53"/>
      <c r="M32" s="54"/>
      <c r="N32" s="50"/>
      <c r="O32" s="51"/>
    </row>
    <row r="33" spans="2:15" s="2" customFormat="1" ht="30" customHeight="1" thickBot="1">
      <c r="B33" s="8" t="s">
        <v>38</v>
      </c>
      <c r="C33" s="55"/>
      <c r="D33" s="56"/>
      <c r="E33" s="56"/>
      <c r="F33" s="56"/>
      <c r="G33" s="56"/>
      <c r="H33" s="56"/>
      <c r="I33" s="56"/>
      <c r="J33" s="56"/>
      <c r="K33" s="57"/>
      <c r="L33" s="16" t="s">
        <v>39</v>
      </c>
      <c r="M33" s="93" t="str">
        <f>C6</f>
        <v>거래처명</v>
      </c>
      <c r="N33" s="93" t="s">
        <v>40</v>
      </c>
      <c r="O33" s="15"/>
    </row>
    <row r="34" spans="2:15">
      <c r="L34" s="20"/>
      <c r="M34" s="20"/>
      <c r="N34" s="20"/>
    </row>
    <row r="35" spans="2:15">
      <c r="L35" s="20"/>
      <c r="M35" s="20"/>
      <c r="N35" s="20"/>
    </row>
    <row r="36" spans="2:15">
      <c r="L36" s="20"/>
    </row>
    <row r="37" spans="2:15">
      <c r="L37" s="20"/>
    </row>
    <row r="38" spans="2:15">
      <c r="L38" s="20"/>
    </row>
    <row r="39" spans="2:15">
      <c r="L39" s="20"/>
    </row>
    <row r="40" spans="2:15">
      <c r="L40" s="20"/>
    </row>
    <row r="41" spans="2:15">
      <c r="L41" s="20"/>
    </row>
    <row r="42" spans="2:15">
      <c r="L42" s="20"/>
    </row>
    <row r="43" spans="2:15">
      <c r="L43" s="20"/>
    </row>
    <row r="44" spans="2:15">
      <c r="L44" s="20"/>
    </row>
    <row r="45" spans="2:15">
      <c r="L45" s="20"/>
    </row>
    <row r="46" spans="2:15">
      <c r="L46" s="20"/>
    </row>
    <row r="47" spans="2:15">
      <c r="L47" s="20"/>
    </row>
    <row r="48" spans="2:15">
      <c r="L48" s="20"/>
    </row>
    <row r="49" spans="12:12">
      <c r="L49" s="20"/>
    </row>
    <row r="50" spans="12:12">
      <c r="L50" s="20"/>
    </row>
    <row r="51" spans="12:12">
      <c r="L51" s="20"/>
    </row>
    <row r="52" spans="12:12">
      <c r="L52" s="20"/>
    </row>
    <row r="53" spans="12:12">
      <c r="L53" s="20"/>
    </row>
    <row r="54" spans="12:12">
      <c r="L54" s="20"/>
    </row>
    <row r="55" spans="12:12">
      <c r="L55" s="20"/>
    </row>
    <row r="56" spans="12:12">
      <c r="L56" s="20"/>
    </row>
    <row r="57" spans="12:12">
      <c r="L57" s="20"/>
    </row>
    <row r="58" spans="12:12">
      <c r="L58" s="20"/>
    </row>
    <row r="59" spans="12:12">
      <c r="L59" s="20"/>
    </row>
    <row r="60" spans="12:12">
      <c r="L60" s="20"/>
    </row>
    <row r="61" spans="12:12">
      <c r="L61" s="20"/>
    </row>
    <row r="62" spans="12:12">
      <c r="L62" s="20"/>
    </row>
    <row r="63" spans="12:12">
      <c r="L63" s="20"/>
    </row>
    <row r="64" spans="12:12">
      <c r="L64" s="20"/>
    </row>
    <row r="65" spans="12:12">
      <c r="L65" s="20"/>
    </row>
    <row r="66" spans="12:12">
      <c r="L66" s="20"/>
    </row>
    <row r="67" spans="12:12">
      <c r="L67" s="20"/>
    </row>
    <row r="68" spans="12:12">
      <c r="L68" s="20"/>
    </row>
    <row r="69" spans="12:12">
      <c r="L69" s="20"/>
    </row>
    <row r="70" spans="12:12">
      <c r="L70" s="20"/>
    </row>
    <row r="71" spans="12:12">
      <c r="L71" s="20"/>
    </row>
    <row r="72" spans="12:12">
      <c r="L72" s="20"/>
    </row>
    <row r="73" spans="12:12">
      <c r="L73" s="20"/>
    </row>
    <row r="74" spans="12:12">
      <c r="L74" s="20"/>
    </row>
    <row r="75" spans="12:12">
      <c r="L75" s="20"/>
    </row>
    <row r="76" spans="12:12">
      <c r="L76" s="20"/>
    </row>
    <row r="77" spans="12:12">
      <c r="L77" s="20"/>
    </row>
    <row r="78" spans="12:12">
      <c r="L78" s="20"/>
    </row>
    <row r="79" spans="12:12">
      <c r="L79" s="20"/>
    </row>
    <row r="80" spans="12:12">
      <c r="L80" s="20"/>
    </row>
    <row r="81" spans="12:12">
      <c r="L81" s="20"/>
    </row>
    <row r="82" spans="12:12">
      <c r="L82" s="20"/>
    </row>
    <row r="83" spans="12:12">
      <c r="L83" s="20"/>
    </row>
    <row r="84" spans="12:12">
      <c r="L84" s="20"/>
    </row>
    <row r="85" spans="12:12">
      <c r="L85" s="20"/>
    </row>
    <row r="86" spans="12:12">
      <c r="L86" s="20"/>
    </row>
    <row r="87" spans="12:12">
      <c r="L87" s="20"/>
    </row>
    <row r="88" spans="12:12">
      <c r="L88" s="20"/>
    </row>
    <row r="89" spans="12:12">
      <c r="L89" s="20"/>
    </row>
    <row r="90" spans="12:12">
      <c r="L90" s="20"/>
    </row>
    <row r="91" spans="12:12">
      <c r="L91" s="20"/>
    </row>
    <row r="92" spans="12:12">
      <c r="L92" s="20"/>
    </row>
    <row r="93" spans="12:12">
      <c r="L93" s="20"/>
    </row>
    <row r="94" spans="12:12">
      <c r="L94" s="20"/>
    </row>
    <row r="95" spans="12:12">
      <c r="L95" s="20"/>
    </row>
    <row r="96" spans="12:12">
      <c r="L96" s="20"/>
    </row>
    <row r="97" spans="12:12">
      <c r="L97" s="20"/>
    </row>
    <row r="98" spans="12:12">
      <c r="L98" s="20"/>
    </row>
    <row r="99" spans="12:12">
      <c r="L99" s="20"/>
    </row>
    <row r="100" spans="12:12">
      <c r="L100" s="20"/>
    </row>
    <row r="101" spans="12:12">
      <c r="L101" s="20"/>
    </row>
    <row r="102" spans="12:12">
      <c r="L102" s="20"/>
    </row>
    <row r="103" spans="12:12">
      <c r="L103" s="20"/>
    </row>
    <row r="104" spans="12:12">
      <c r="L104" s="20"/>
    </row>
    <row r="105" spans="12:12">
      <c r="L105" s="20"/>
    </row>
    <row r="106" spans="12:12">
      <c r="L106" s="20"/>
    </row>
  </sheetData>
  <mergeCells count="123">
    <mergeCell ref="C33:K33"/>
    <mergeCell ref="B30:J30"/>
    <mergeCell ref="B31:J31"/>
    <mergeCell ref="B32:J32"/>
    <mergeCell ref="C29:D29"/>
    <mergeCell ref="E11:F11"/>
    <mergeCell ref="G11:H11"/>
    <mergeCell ref="E26:F26"/>
    <mergeCell ref="G26:H26"/>
    <mergeCell ref="E16:F16"/>
    <mergeCell ref="E13:F13"/>
    <mergeCell ref="G13:H13"/>
    <mergeCell ref="E14:F14"/>
    <mergeCell ref="G14:H14"/>
    <mergeCell ref="E29:F29"/>
    <mergeCell ref="E15:F15"/>
    <mergeCell ref="G15:H15"/>
    <mergeCell ref="E27:F27"/>
    <mergeCell ref="G16:H16"/>
    <mergeCell ref="E25:F25"/>
    <mergeCell ref="E28:F28"/>
    <mergeCell ref="I18:J18"/>
    <mergeCell ref="I19:J19"/>
    <mergeCell ref="I20:J20"/>
    <mergeCell ref="N29:O29"/>
    <mergeCell ref="G25:H25"/>
    <mergeCell ref="I28:J28"/>
    <mergeCell ref="I29:J29"/>
    <mergeCell ref="N31:O31"/>
    <mergeCell ref="N32:O32"/>
    <mergeCell ref="N30:O30"/>
    <mergeCell ref="K29:M29"/>
    <mergeCell ref="I26:J26"/>
    <mergeCell ref="I27:J27"/>
    <mergeCell ref="K30:M30"/>
    <mergeCell ref="K31:M31"/>
    <mergeCell ref="K32:M32"/>
    <mergeCell ref="G29:H29"/>
    <mergeCell ref="N25:O25"/>
    <mergeCell ref="N26:O26"/>
    <mergeCell ref="N27:O27"/>
    <mergeCell ref="N28:O28"/>
    <mergeCell ref="G27:H27"/>
    <mergeCell ref="G28:H28"/>
    <mergeCell ref="K28:M28"/>
    <mergeCell ref="I21:J21"/>
    <mergeCell ref="I22:J22"/>
    <mergeCell ref="I23:J23"/>
    <mergeCell ref="I24:J24"/>
    <mergeCell ref="I25:J25"/>
    <mergeCell ref="K27:M27"/>
    <mergeCell ref="K18:M18"/>
    <mergeCell ref="K19:M19"/>
    <mergeCell ref="B2:O2"/>
    <mergeCell ref="E9:F9"/>
    <mergeCell ref="G9:H9"/>
    <mergeCell ref="B3:I3"/>
    <mergeCell ref="C6:G6"/>
    <mergeCell ref="K3:K7"/>
    <mergeCell ref="B5:I5"/>
    <mergeCell ref="B7:I7"/>
    <mergeCell ref="M3:O3"/>
    <mergeCell ref="M5:O5"/>
    <mergeCell ref="M7:O7"/>
    <mergeCell ref="D8:K8"/>
    <mergeCell ref="I9:J9"/>
    <mergeCell ref="C9:D9"/>
    <mergeCell ref="N11:O11"/>
    <mergeCell ref="M8:O8"/>
    <mergeCell ref="N16:O16"/>
    <mergeCell ref="N13:O13"/>
    <mergeCell ref="N14:O14"/>
    <mergeCell ref="N15:O15"/>
    <mergeCell ref="N9:O9"/>
    <mergeCell ref="N10:O10"/>
    <mergeCell ref="N12:O12"/>
    <mergeCell ref="K9:M9"/>
    <mergeCell ref="I14:J14"/>
    <mergeCell ref="I15:J15"/>
    <mergeCell ref="I16:J16"/>
    <mergeCell ref="I17:J17"/>
    <mergeCell ref="K10:M10"/>
    <mergeCell ref="K11:M11"/>
    <mergeCell ref="K12:M12"/>
    <mergeCell ref="K13:M13"/>
    <mergeCell ref="K14:M14"/>
    <mergeCell ref="K15:M15"/>
    <mergeCell ref="K16:M16"/>
    <mergeCell ref="K17:M17"/>
    <mergeCell ref="K20:M20"/>
    <mergeCell ref="K21:M21"/>
    <mergeCell ref="K22:M22"/>
    <mergeCell ref="K23:M23"/>
    <mergeCell ref="K24:M24"/>
    <mergeCell ref="K25:M25"/>
    <mergeCell ref="K26:M26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I10:J10"/>
    <mergeCell ref="I11:J11"/>
    <mergeCell ref="I12:J12"/>
    <mergeCell ref="I13:J13"/>
    <mergeCell ref="E10:F10"/>
    <mergeCell ref="G10:H10"/>
    <mergeCell ref="E12:F12"/>
    <mergeCell ref="G12:H12"/>
    <mergeCell ref="C28:D2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</mergeCells>
  <phoneticPr fontId="1" type="noConversion"/>
  <printOptions horizontalCentered="1" gridLinesSet="0"/>
  <pageMargins left="0.39370078740157483" right="0.39370078740157483" top="0.59055118110236227" bottom="0.39370078740157483" header="0.39370078740157483" footer="0.39370078740157483"/>
  <pageSetup paperSize="9" scale="9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거래명세표</dc:title>
  <dc:subject/>
  <dc:creator>홈크린</dc:creator>
  <cp:keywords/>
  <dc:description/>
  <cp:lastModifiedBy/>
  <cp:revision/>
  <dcterms:created xsi:type="dcterms:W3CDTF">2000-04-27T01:30:18Z</dcterms:created>
  <dcterms:modified xsi:type="dcterms:W3CDTF">2025-12-08T07:58:51Z</dcterms:modified>
  <cp:category/>
  <cp:contentStatus/>
</cp:coreProperties>
</file>
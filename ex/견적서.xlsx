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 codeName="ThisWorkbook" defaultThemeVersion="124226"/>
  <xr:revisionPtr revIDLastSave="0" documentId="8_{B79D173D-C4EC-4C3F-A7D0-521A1551B0D4}" xr6:coauthVersionLast="47" xr6:coauthVersionMax="47" xr10:uidLastSave="{00000000-0000-0000-0000-000000000000}"/>
  <bookViews>
    <workbookView xWindow="0" yWindow="0" windowWidth="16155" windowHeight="8940" xr2:uid="{00000000-000D-0000-FFFF-FFFF00000000}"/>
  </bookViews>
  <sheets>
    <sheet name="하비브라운_견적서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" i="1" l="1"/>
  <c r="AC13" i="1" s="1"/>
  <c r="X12" i="1"/>
  <c r="T31" i="1"/>
  <c r="AC12" i="1" l="1"/>
  <c r="AC30" i="1" s="1"/>
  <c r="E10" i="1" s="1"/>
  <c r="AB4" i="1"/>
  <c r="L10" i="1" l="1"/>
</calcChain>
</file>

<file path=xl/sharedStrings.xml><?xml version="1.0" encoding="utf-8"?>
<sst xmlns="http://schemas.openxmlformats.org/spreadsheetml/2006/main" count="47" uniqueCount="47">
  <si>
    <t>견       적       서</t>
  </si>
  <si>
    <t>거래처명</t>
  </si>
  <si>
    <t>귀하</t>
  </si>
  <si>
    <t>견적번호</t>
  </si>
  <si>
    <t xml:space="preserve"> 2025-09122</t>
    <phoneticPr fontId="12" type="noConversion"/>
  </si>
  <si>
    <t>견적일자</t>
  </si>
  <si>
    <t>상      호</t>
  </si>
  <si>
    <t xml:space="preserve"> 하비 브라운</t>
    <phoneticPr fontId="12" type="noConversion"/>
  </si>
  <si>
    <t>등록번호</t>
  </si>
  <si>
    <t xml:space="preserve"> 849-63-00642</t>
    <phoneticPr fontId="12" type="noConversion"/>
  </si>
  <si>
    <t>대 표 자</t>
  </si>
  <si>
    <t xml:space="preserve"> 이수진  (인)</t>
    <phoneticPr fontId="12" type="noConversion"/>
  </si>
  <si>
    <t>업      태</t>
  </si>
  <si>
    <t xml:space="preserve"> 도소매</t>
    <phoneticPr fontId="12" type="noConversion"/>
  </si>
  <si>
    <t>종      목</t>
  </si>
  <si>
    <t xml:space="preserve"> 전자상거래</t>
    <phoneticPr fontId="12" type="noConversion"/>
  </si>
  <si>
    <t>전화번호</t>
  </si>
  <si>
    <t xml:space="preserve"> 010-4874-8419</t>
    <phoneticPr fontId="12" type="noConversion"/>
  </si>
  <si>
    <t>팩스번호</t>
  </si>
  <si>
    <t xml:space="preserve"> 아래와 같이 견적합니다. 본 견적은 견적 후 30일 이내로 유효합니다.</t>
    <phoneticPr fontId="12" type="noConversion"/>
  </si>
  <si>
    <t>견적금액</t>
  </si>
  <si>
    <t>(</t>
  </si>
  <si>
    <t>원정)</t>
  </si>
  <si>
    <t>세액처리</t>
  </si>
  <si>
    <t>부가세포함</t>
  </si>
  <si>
    <t>순번</t>
  </si>
  <si>
    <t>품목명</t>
  </si>
  <si>
    <t>규격</t>
  </si>
  <si>
    <t>단위</t>
  </si>
  <si>
    <t>수량</t>
  </si>
  <si>
    <t>공급가</t>
  </si>
  <si>
    <t>부가세</t>
  </si>
  <si>
    <t>합계</t>
  </si>
  <si>
    <t xml:space="preserve"> 우드펜 각인상품</t>
    <phoneticPr fontId="12" type="noConversion"/>
  </si>
  <si>
    <t>0.5mm</t>
    <phoneticPr fontId="12" type="noConversion"/>
  </si>
  <si>
    <t xml:space="preserve"> 우드 케이스</t>
    <phoneticPr fontId="12" type="noConversion"/>
  </si>
  <si>
    <t>총합계금액</t>
  </si>
  <si>
    <t>납기일자</t>
  </si>
  <si>
    <t>시안 확정 후 영업일 기준 10일 내외</t>
    <phoneticPr fontId="12" type="noConversion"/>
  </si>
  <si>
    <t>납품장소</t>
  </si>
  <si>
    <t>입금계좌</t>
  </si>
  <si>
    <t>농협 352-0830-9616-43 (예금주:이수진)</t>
    <phoneticPr fontId="12" type="noConversion"/>
  </si>
  <si>
    <t>결제조건</t>
  </si>
  <si>
    <t xml:space="preserve">✔현금 </t>
  </si>
  <si>
    <t>비고</t>
  </si>
  <si>
    <t xml:space="preserve"> 전자세금계산서 발행</t>
    <phoneticPr fontId="12" type="noConversion"/>
  </si>
  <si>
    <t xml:space="preserve"> 개별 포장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</si>
</sst>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[DBNum4][$-412]General"/>
  </numFmts>
  <fonts count="25">
    <font>
      <sz val="11"/>
      <name val="나눔고딕"/>
      <family val="3"/>
      <charset val="129"/>
    </font>
    <font>
      <sz val="11"/>
      <color indexed="9"/>
      <name val="나눔고딕"/>
      <family val="3"/>
      <charset val="129"/>
    </font>
    <font>
      <sz val="11"/>
      <color indexed="10"/>
      <name val="나눔고딕"/>
      <family val="3"/>
      <charset val="129"/>
    </font>
    <font>
      <b/>
      <sz val="11"/>
      <color indexed="9"/>
      <name val="나눔고딕"/>
      <family val="3"/>
      <charset val="129"/>
    </font>
    <font>
      <sz val="11"/>
      <color indexed="8"/>
      <name val="돋움"/>
      <family val="3"/>
      <charset val="129"/>
    </font>
    <font>
      <b/>
      <sz val="11"/>
      <color indexed="8"/>
      <name val="나눔고딕"/>
      <family val="3"/>
      <charset val="129"/>
    </font>
    <font>
      <sz val="10"/>
      <color indexed="8"/>
      <name val="나눔고딕"/>
      <family val="3"/>
      <charset val="129"/>
    </font>
    <font>
      <sz val="12"/>
      <color indexed="8"/>
      <name val="나눔고딕"/>
      <family val="3"/>
      <charset val="129"/>
    </font>
    <font>
      <b/>
      <sz val="10"/>
      <color indexed="8"/>
      <name val="나눔고딕"/>
      <family val="3"/>
      <charset val="129"/>
    </font>
    <font>
      <b/>
      <sz val="20"/>
      <color indexed="8"/>
      <name val="나눔고딕"/>
      <family val="3"/>
      <charset val="129"/>
    </font>
    <font>
      <sz val="20"/>
      <color indexed="8"/>
      <name val="나눔고딕"/>
      <family val="3"/>
      <charset val="129"/>
    </font>
    <font>
      <sz val="11"/>
      <name val="나눔고딕"/>
      <family val="3"/>
      <charset val="129"/>
    </font>
    <font>
      <sz val="8"/>
      <name val="돋움"/>
      <family val="3"/>
      <charset val="129"/>
    </font>
    <font>
      <b/>
      <sz val="11"/>
      <color rgb="FFFA7D00"/>
      <name val="나눔고딕"/>
      <family val="3"/>
      <charset val="129"/>
    </font>
    <font>
      <sz val="11"/>
      <color rgb="FF9C0006"/>
      <name val="나눔고딕"/>
      <family val="3"/>
      <charset val="129"/>
    </font>
    <font>
      <sz val="11"/>
      <color rgb="FF9C6500"/>
      <name val="나눔고딕"/>
      <family val="3"/>
      <charset val="129"/>
    </font>
    <font>
      <i/>
      <sz val="11"/>
      <color rgb="FF7F7F7F"/>
      <name val="나눔고딕"/>
      <family val="3"/>
      <charset val="129"/>
    </font>
    <font>
      <sz val="11"/>
      <color rgb="FFFA7D00"/>
      <name val="나눔고딕"/>
      <family val="3"/>
      <charset val="129"/>
    </font>
    <font>
      <sz val="11"/>
      <color rgb="FF3F3F76"/>
      <name val="나눔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나눔고딕"/>
      <family val="3"/>
      <charset val="129"/>
    </font>
    <font>
      <b/>
      <sz val="13"/>
      <color rgb="FF1F497D"/>
      <name val="나눔고딕"/>
      <family val="3"/>
      <charset val="129"/>
    </font>
    <font>
      <b/>
      <sz val="11"/>
      <color rgb="FF1F497D"/>
      <name val="나눔고딕"/>
      <family val="3"/>
      <charset val="129"/>
    </font>
    <font>
      <sz val="11"/>
      <color rgb="FF006100"/>
      <name val="나눔고딕"/>
      <family val="3"/>
      <charset val="129"/>
    </font>
    <font>
      <b/>
      <sz val="11"/>
      <color rgb="FF3F3F3F"/>
      <name val="나눔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/>
      <diagonal/>
    </border>
    <border>
      <left style="thin">
        <color indexed="9"/>
      </left>
      <right style="thin">
        <color rgb="FFFFFFFF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5">
    <xf numFmtId="0" fontId="0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28" borderId="20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" borderId="21" applyNumberFormat="0" applyFon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31" borderId="22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5" fillId="0" borderId="24" applyNumberFormat="0" applyFill="0" applyAlignment="0" applyProtection="0">
      <alignment vertical="center"/>
    </xf>
    <xf numFmtId="0" fontId="18" fillId="2" borderId="20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28" borderId="28" applyNumberFormat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69">
    <xf numFmtId="0" fontId="0" fillId="0" borderId="0" xfId="0" applyNumberFormat="1" applyFont="1">
      <alignment vertical="center"/>
    </xf>
    <xf numFmtId="0" fontId="0" fillId="0" borderId="0" xfId="0" applyNumberFormat="1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31" xfId="0" applyNumberFormat="1" applyFont="1" applyFill="1" applyBorder="1" applyAlignment="1">
      <alignment horizontal="right" vertical="center"/>
    </xf>
    <xf numFmtId="0" fontId="6" fillId="0" borderId="31" xfId="0" applyNumberFormat="1" applyFont="1" applyFill="1" applyBorder="1" applyAlignment="1">
      <alignment horizontal="left" vertical="center"/>
    </xf>
    <xf numFmtId="0" fontId="6" fillId="0" borderId="32" xfId="0" applyNumberFormat="1" applyFont="1" applyFill="1" applyBorder="1" applyAlignment="1">
      <alignment horizontal="left" vertical="center"/>
    </xf>
    <xf numFmtId="0" fontId="6" fillId="0" borderId="5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/>
    </xf>
    <xf numFmtId="0" fontId="6" fillId="0" borderId="16" xfId="0" applyNumberFormat="1" applyFont="1" applyFill="1" applyBorder="1" applyAlignment="1">
      <alignment horizontal="left" vertical="center"/>
    </xf>
    <xf numFmtId="0" fontId="6" fillId="0" borderId="17" xfId="0" applyNumberFormat="1" applyFont="1" applyFill="1" applyBorder="1" applyAlignment="1">
      <alignment horizontal="left" vertical="center"/>
    </xf>
    <xf numFmtId="0" fontId="6" fillId="0" borderId="18" xfId="0" applyNumberFormat="1" applyFont="1" applyFill="1" applyBorder="1" applyAlignment="1">
      <alignment horizontal="left" vertical="center"/>
    </xf>
    <xf numFmtId="0" fontId="6" fillId="0" borderId="19" xfId="0" applyNumberFormat="1" applyFont="1" applyFill="1" applyBorder="1" applyAlignment="1">
      <alignment horizontal="left" vertical="center"/>
    </xf>
    <xf numFmtId="0" fontId="6" fillId="0" borderId="11" xfId="0" applyNumberFormat="1" applyFont="1" applyFill="1" applyBorder="1" applyAlignment="1">
      <alignment horizontal="left" vertical="center"/>
    </xf>
    <xf numFmtId="0" fontId="6" fillId="0" borderId="12" xfId="0" applyNumberFormat="1" applyFont="1" applyFill="1" applyBorder="1" applyAlignment="1">
      <alignment horizontal="left" vertical="center"/>
    </xf>
    <xf numFmtId="0" fontId="6" fillId="0" borderId="29" xfId="0" applyNumberFormat="1" applyFont="1" applyFill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41" fontId="6" fillId="0" borderId="33" xfId="0" applyNumberFormat="1" applyFont="1" applyFill="1" applyBorder="1" applyAlignment="1">
      <alignment horizontal="center" vertical="center"/>
    </xf>
    <xf numFmtId="0" fontId="6" fillId="0" borderId="33" xfId="0" applyNumberFormat="1" applyFont="1" applyFill="1" applyBorder="1" applyAlignment="1">
      <alignment horizontal="center" vertical="center"/>
    </xf>
    <xf numFmtId="0" fontId="6" fillId="0" borderId="29" xfId="0" applyNumberFormat="1" applyFont="1" applyFill="1" applyBorder="1" applyAlignment="1">
      <alignment horizontal="left" vertical="center"/>
    </xf>
    <xf numFmtId="41" fontId="6" fillId="0" borderId="29" xfId="0" applyNumberFormat="1" applyFont="1" applyFill="1" applyBorder="1" applyAlignment="1">
      <alignment horizontal="center" vertical="center"/>
    </xf>
    <xf numFmtId="0" fontId="6" fillId="0" borderId="33" xfId="0" applyNumberFormat="1" applyFont="1" applyFill="1" applyBorder="1" applyAlignment="1">
      <alignment horizontal="left" vertical="center"/>
    </xf>
    <xf numFmtId="0" fontId="6" fillId="0" borderId="34" xfId="0" applyNumberFormat="1" applyFont="1" applyFill="1" applyBorder="1" applyAlignment="1">
      <alignment horizontal="center" vertical="center"/>
    </xf>
    <xf numFmtId="0" fontId="6" fillId="0" borderId="34" xfId="0" applyNumberFormat="1" applyFont="1" applyFill="1" applyBorder="1" applyAlignment="1">
      <alignment horizontal="left" vertical="center"/>
    </xf>
    <xf numFmtId="0" fontId="9" fillId="0" borderId="5" xfId="0" applyNumberFormat="1" applyFont="1" applyFill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10" fillId="0" borderId="14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15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10" fillId="0" borderId="9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left" vertical="center"/>
    </xf>
    <xf numFmtId="0" fontId="6" fillId="0" borderId="3" xfId="0" applyNumberFormat="1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 vertical="center"/>
    </xf>
    <xf numFmtId="0" fontId="6" fillId="0" borderId="30" xfId="0" applyNumberFormat="1" applyFont="1" applyFill="1" applyBorder="1" applyAlignment="1">
      <alignment horizontal="center" vertical="center"/>
    </xf>
    <xf numFmtId="0" fontId="6" fillId="0" borderId="31" xfId="0" applyNumberFormat="1" applyFont="1" applyFill="1" applyBorder="1" applyAlignment="1">
      <alignment horizontal="center" vertical="center"/>
    </xf>
    <xf numFmtId="42" fontId="8" fillId="0" borderId="31" xfId="0" applyNumberFormat="1" applyFont="1" applyFill="1" applyBorder="1" applyAlignment="1">
      <alignment horizontal="center" vertical="center"/>
    </xf>
    <xf numFmtId="176" fontId="6" fillId="0" borderId="3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36" xfId="0" applyNumberFormat="1" applyFont="1" applyFill="1" applyBorder="1" applyAlignment="1">
      <alignment horizontal="center" vertical="center"/>
    </xf>
    <xf numFmtId="0" fontId="6" fillId="0" borderId="37" xfId="0" applyNumberFormat="1" applyFont="1" applyFill="1" applyBorder="1" applyAlignment="1">
      <alignment horizontal="center" vertical="center"/>
    </xf>
    <xf numFmtId="0" fontId="6" fillId="0" borderId="38" xfId="0" applyNumberFormat="1" applyFont="1" applyFill="1" applyBorder="1" applyAlignment="1">
      <alignment horizontal="center" vertical="center"/>
    </xf>
    <xf numFmtId="0" fontId="6" fillId="0" borderId="39" xfId="0" applyNumberFormat="1" applyFont="1" applyFill="1" applyBorder="1" applyAlignment="1">
      <alignment horizontal="center" vertical="center"/>
    </xf>
    <xf numFmtId="0" fontId="6" fillId="0" borderId="35" xfId="0" applyNumberFormat="1" applyFont="1" applyFill="1" applyBorder="1" applyAlignment="1">
      <alignment horizontal="center" vertical="center"/>
    </xf>
    <xf numFmtId="0" fontId="6" fillId="0" borderId="40" xfId="0" applyNumberFormat="1" applyFont="1" applyFill="1" applyBorder="1" applyAlignment="1">
      <alignment horizontal="center" vertical="center"/>
    </xf>
    <xf numFmtId="0" fontId="6" fillId="0" borderId="41" xfId="0" applyNumberFormat="1" applyFont="1" applyFill="1" applyBorder="1" applyAlignment="1">
      <alignment horizontal="center" vertical="center"/>
    </xf>
    <xf numFmtId="0" fontId="6" fillId="0" borderId="42" xfId="0" applyNumberFormat="1" applyFont="1" applyFill="1" applyBorder="1" applyAlignment="1">
      <alignment horizontal="center" vertical="center"/>
    </xf>
    <xf numFmtId="0" fontId="6" fillId="0" borderId="43" xfId="0" applyNumberFormat="1" applyFont="1" applyFill="1" applyBorder="1" applyAlignment="1">
      <alignment horizontal="center" vertical="center"/>
    </xf>
    <xf numFmtId="0" fontId="6" fillId="0" borderId="14" xfId="0" applyNumberFormat="1" applyFont="1" applyFill="1" applyBorder="1" applyAlignment="1">
      <alignment horizontal="center" vertical="center"/>
    </xf>
    <xf numFmtId="0" fontId="6" fillId="0" borderId="44" xfId="0" applyNumberFormat="1" applyFont="1" applyFill="1" applyBorder="1" applyAlignment="1">
      <alignment horizontal="center" vertical="center"/>
    </xf>
    <xf numFmtId="0" fontId="6" fillId="0" borderId="45" xfId="0" applyNumberFormat="1" applyFont="1" applyFill="1" applyBorder="1" applyAlignment="1">
      <alignment horizontal="center" vertical="center"/>
    </xf>
    <xf numFmtId="0" fontId="6" fillId="0" borderId="46" xfId="0" applyNumberFormat="1" applyFont="1" applyFill="1" applyBorder="1" applyAlignment="1">
      <alignment horizontal="center" vertical="center"/>
    </xf>
    <xf numFmtId="0" fontId="6" fillId="0" borderId="47" xfId="0" applyNumberFormat="1" applyFont="1" applyFill="1" applyBorder="1" applyAlignment="1">
      <alignment horizontal="center" vertical="center"/>
    </xf>
    <xf numFmtId="0" fontId="6" fillId="0" borderId="48" xfId="0" applyNumberFormat="1" applyFont="1" applyFill="1" applyBorder="1" applyAlignment="1">
      <alignment horizontal="center" vertical="center"/>
    </xf>
    <xf numFmtId="0" fontId="6" fillId="0" borderId="49" xfId="0" applyNumberFormat="1" applyFont="1" applyFill="1" applyBorder="1" applyAlignment="1">
      <alignment horizontal="center" vertical="center"/>
    </xf>
  </cellXfs>
  <cellStyles count="45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 2" xfId="32" xr:uid="{00000000-0005-0000-0000-00001F000000}"/>
    <cellStyle name="연결된 셀" xfId="33" builtinId="24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통화 [0] 2" xfId="43" xr:uid="{00000000-0005-0000-0000-00002A000000}"/>
    <cellStyle name="표준" xfId="0" builtinId="0"/>
    <cellStyle name="표준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131861</xdr:colOff>
      <xdr:row>4</xdr:row>
      <xdr:rowOff>71436</xdr:rowOff>
    </xdr:from>
    <xdr:to>
      <xdr:col>31</xdr:col>
      <xdr:colOff>269081</xdr:colOff>
      <xdr:row>6</xdr:row>
      <xdr:rowOff>131906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2205" y="1071561"/>
          <a:ext cx="558701" cy="560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42"/>
  <sheetViews>
    <sheetView tabSelected="1" topLeftCell="A8" zoomScale="115" zoomScaleNormal="115" zoomScaleSheetLayoutView="75" workbookViewId="0">
      <selection activeCell="L12" sqref="L12:AF29"/>
    </sheetView>
  </sheetViews>
  <sheetFormatPr defaultColWidth="8.77734375" defaultRowHeight="13.5"/>
  <cols>
    <col min="1" max="10" width="3" style="1" customWidth="1"/>
    <col min="11" max="11" width="0.109375" style="1" customWidth="1"/>
    <col min="12" max="14" width="3" style="1" customWidth="1"/>
    <col min="15" max="15" width="3" style="1" hidden="1" customWidth="1"/>
    <col min="16" max="22" width="3" style="1" customWidth="1"/>
    <col min="23" max="23" width="0.33203125" style="1" customWidth="1"/>
    <col min="24" max="25" width="3" style="1" customWidth="1"/>
    <col min="26" max="26" width="3" style="1" hidden="1" customWidth="1"/>
    <col min="27" max="27" width="3" style="1" customWidth="1"/>
    <col min="28" max="28" width="3.21875" style="1" hidden="1" customWidth="1"/>
    <col min="29" max="31" width="3" style="1" customWidth="1"/>
    <col min="32" max="32" width="6.33203125" style="1" customWidth="1"/>
    <col min="33" max="256" width="3" style="1" customWidth="1"/>
    <col min="257" max="16384" width="8.77734375" style="1"/>
  </cols>
  <sheetData>
    <row r="1" spans="1:32" ht="20.100000000000001" customHeight="1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1"/>
    </row>
    <row r="2" spans="1:32" ht="20.100000000000001" customHeight="1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4"/>
    </row>
    <row r="3" spans="1:32" ht="20.100000000000001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7"/>
    </row>
    <row r="4" spans="1:32" ht="20.100000000000001" customHeight="1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 t="s">
        <v>2</v>
      </c>
      <c r="L4" s="8"/>
      <c r="M4" s="64"/>
      <c r="N4" s="53" t="s">
        <v>3</v>
      </c>
      <c r="O4" s="54"/>
      <c r="P4" s="54"/>
      <c r="Q4" s="55"/>
      <c r="R4" s="7" t="s">
        <v>4</v>
      </c>
      <c r="S4" s="8"/>
      <c r="T4" s="8"/>
      <c r="U4" s="8"/>
      <c r="V4" s="8"/>
      <c r="W4" s="9"/>
      <c r="X4" s="38" t="s">
        <v>5</v>
      </c>
      <c r="Y4" s="38"/>
      <c r="Z4" s="38"/>
      <c r="AA4" s="38"/>
      <c r="AB4" s="39" t="str">
        <f>LEFT(R4,10)</f>
        <v xml:space="preserve"> 2025-0912</v>
      </c>
      <c r="AC4" s="39"/>
      <c r="AD4" s="39"/>
      <c r="AE4" s="39"/>
      <c r="AF4" s="39"/>
    </row>
    <row r="5" spans="1:32" ht="20.100000000000001" customHeight="1">
      <c r="A5" s="62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63"/>
      <c r="N5" s="56" t="s">
        <v>6</v>
      </c>
      <c r="O5" s="57"/>
      <c r="P5" s="57"/>
      <c r="Q5" s="57"/>
      <c r="R5" s="66" t="s">
        <v>7</v>
      </c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8"/>
    </row>
    <row r="6" spans="1:32" ht="20.100000000000001" customHeight="1">
      <c r="A6" s="62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63"/>
      <c r="N6" s="56" t="s">
        <v>8</v>
      </c>
      <c r="O6" s="57"/>
      <c r="P6" s="57"/>
      <c r="Q6" s="58"/>
      <c r="R6" s="10" t="s">
        <v>9</v>
      </c>
      <c r="S6" s="11"/>
      <c r="T6" s="11"/>
      <c r="U6" s="11"/>
      <c r="V6" s="11"/>
      <c r="W6" s="12"/>
      <c r="X6" s="27" t="s">
        <v>10</v>
      </c>
      <c r="Y6" s="27"/>
      <c r="Z6" s="27"/>
      <c r="AA6" s="27"/>
      <c r="AB6" s="28" t="s">
        <v>11</v>
      </c>
      <c r="AC6" s="28"/>
      <c r="AD6" s="28"/>
      <c r="AE6" s="28"/>
      <c r="AF6" s="28"/>
    </row>
    <row r="7" spans="1:32" ht="20.100000000000001" customHeight="1">
      <c r="A7" s="62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63"/>
      <c r="N7" s="56" t="s">
        <v>12</v>
      </c>
      <c r="O7" s="57"/>
      <c r="P7" s="57"/>
      <c r="Q7" s="58"/>
      <c r="R7" s="50" t="s">
        <v>13</v>
      </c>
      <c r="S7" s="51"/>
      <c r="T7" s="51"/>
      <c r="U7" s="51"/>
      <c r="V7" s="51"/>
      <c r="W7" s="52"/>
      <c r="X7" s="47" t="s">
        <v>14</v>
      </c>
      <c r="Y7" s="47"/>
      <c r="Z7" s="47"/>
      <c r="AA7" s="47"/>
      <c r="AB7" s="48" t="s">
        <v>15</v>
      </c>
      <c r="AC7" s="48"/>
      <c r="AD7" s="48"/>
      <c r="AE7" s="48"/>
      <c r="AF7" s="48"/>
    </row>
    <row r="8" spans="1:32" ht="20.100000000000001" customHeight="1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65"/>
      <c r="N8" s="59" t="s">
        <v>16</v>
      </c>
      <c r="O8" s="60"/>
      <c r="P8" s="60"/>
      <c r="Q8" s="61"/>
      <c r="R8" s="50" t="s">
        <v>17</v>
      </c>
      <c r="S8" s="51"/>
      <c r="T8" s="51"/>
      <c r="U8" s="51"/>
      <c r="V8" s="51"/>
      <c r="W8" s="52"/>
      <c r="X8" s="38" t="s">
        <v>18</v>
      </c>
      <c r="Y8" s="38"/>
      <c r="Z8" s="38"/>
      <c r="AA8" s="38"/>
      <c r="AB8" s="39"/>
      <c r="AC8" s="39"/>
      <c r="AD8" s="39"/>
      <c r="AE8" s="39"/>
      <c r="AF8" s="39"/>
    </row>
    <row r="9" spans="1:32" ht="20.100000000000001" customHeight="1">
      <c r="A9" s="40" t="s">
        <v>19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2"/>
    </row>
    <row r="10" spans="1:32" ht="20.100000000000001" customHeight="1">
      <c r="A10" s="43" t="s">
        <v>20</v>
      </c>
      <c r="B10" s="44"/>
      <c r="C10" s="44"/>
      <c r="D10" s="44"/>
      <c r="E10" s="45">
        <f>AC30</f>
        <v>7040000</v>
      </c>
      <c r="F10" s="45"/>
      <c r="G10" s="45"/>
      <c r="H10" s="45"/>
      <c r="I10" s="45"/>
      <c r="J10" s="45"/>
      <c r="K10" s="4" t="s">
        <v>21</v>
      </c>
      <c r="L10" s="46">
        <f>E10</f>
        <v>7040000</v>
      </c>
      <c r="M10" s="46"/>
      <c r="N10" s="46"/>
      <c r="O10" s="46"/>
      <c r="P10" s="46"/>
      <c r="Q10" s="46"/>
      <c r="R10" s="46"/>
      <c r="S10" s="44" t="s">
        <v>22</v>
      </c>
      <c r="T10" s="44"/>
      <c r="U10" s="5"/>
      <c r="V10" s="5"/>
      <c r="W10" s="6"/>
      <c r="X10" s="7" t="s">
        <v>23</v>
      </c>
      <c r="Y10" s="8"/>
      <c r="Z10" s="8"/>
      <c r="AA10" s="8"/>
      <c r="AB10" s="20"/>
      <c r="AC10" s="7" t="s">
        <v>24</v>
      </c>
      <c r="AD10" s="20"/>
      <c r="AE10" s="20"/>
      <c r="AF10" s="21"/>
    </row>
    <row r="11" spans="1:32" ht="20.100000000000001" customHeight="1">
      <c r="A11" s="19" t="s">
        <v>25</v>
      </c>
      <c r="B11" s="19"/>
      <c r="C11" s="19" t="s">
        <v>26</v>
      </c>
      <c r="D11" s="19"/>
      <c r="E11" s="19"/>
      <c r="F11" s="19"/>
      <c r="G11" s="19"/>
      <c r="H11" s="19"/>
      <c r="I11" s="19"/>
      <c r="J11" s="19"/>
      <c r="K11" s="19"/>
      <c r="L11" s="19" t="s">
        <v>27</v>
      </c>
      <c r="M11" s="19"/>
      <c r="N11" s="19"/>
      <c r="O11" s="19"/>
      <c r="P11" s="19" t="s">
        <v>28</v>
      </c>
      <c r="Q11" s="19"/>
      <c r="R11" s="19" t="s">
        <v>29</v>
      </c>
      <c r="S11" s="19"/>
      <c r="T11" s="19" t="s">
        <v>30</v>
      </c>
      <c r="U11" s="19"/>
      <c r="V11" s="19"/>
      <c r="W11" s="19"/>
      <c r="X11" s="19" t="s">
        <v>31</v>
      </c>
      <c r="Y11" s="19"/>
      <c r="Z11" s="19"/>
      <c r="AA11" s="19"/>
      <c r="AB11" s="19"/>
      <c r="AC11" s="19" t="s">
        <v>32</v>
      </c>
      <c r="AD11" s="19"/>
      <c r="AE11" s="19"/>
      <c r="AF11" s="19"/>
    </row>
    <row r="12" spans="1:32" ht="20.100000000000001" customHeight="1">
      <c r="A12" s="19">
        <v>1</v>
      </c>
      <c r="B12" s="19"/>
      <c r="C12" s="24" t="s">
        <v>33</v>
      </c>
      <c r="D12" s="24"/>
      <c r="E12" s="24"/>
      <c r="F12" s="24"/>
      <c r="G12" s="24"/>
      <c r="H12" s="24"/>
      <c r="I12" s="24"/>
      <c r="J12" s="24"/>
      <c r="K12" s="24"/>
      <c r="L12" s="19" t="s">
        <v>34</v>
      </c>
      <c r="M12" s="19"/>
      <c r="N12" s="19"/>
      <c r="O12" s="19"/>
      <c r="P12" s="19"/>
      <c r="Q12" s="19"/>
      <c r="R12" s="19">
        <v>200</v>
      </c>
      <c r="S12" s="19"/>
      <c r="T12" s="25">
        <v>21000</v>
      </c>
      <c r="U12" s="25"/>
      <c r="V12" s="25"/>
      <c r="W12" s="25"/>
      <c r="X12" s="25">
        <f>T12*0.1</f>
        <v>2100</v>
      </c>
      <c r="Y12" s="25"/>
      <c r="Z12" s="25"/>
      <c r="AA12" s="25"/>
      <c r="AB12" s="25"/>
      <c r="AC12" s="25">
        <f>(T12+X12)*R12</f>
        <v>4620000</v>
      </c>
      <c r="AD12" s="19"/>
      <c r="AE12" s="19"/>
      <c r="AF12" s="19"/>
    </row>
    <row r="13" spans="1:32" ht="20.100000000000001" customHeight="1">
      <c r="A13" s="19">
        <v>2</v>
      </c>
      <c r="B13" s="19"/>
      <c r="C13" s="24" t="s">
        <v>35</v>
      </c>
      <c r="D13" s="24"/>
      <c r="E13" s="24"/>
      <c r="F13" s="24"/>
      <c r="G13" s="24"/>
      <c r="H13" s="24"/>
      <c r="I13" s="24"/>
      <c r="J13" s="24"/>
      <c r="K13" s="24"/>
      <c r="L13" s="19"/>
      <c r="M13" s="19"/>
      <c r="N13" s="19"/>
      <c r="O13" s="19"/>
      <c r="P13" s="19"/>
      <c r="Q13" s="19"/>
      <c r="R13" s="19">
        <v>200</v>
      </c>
      <c r="S13" s="19"/>
      <c r="T13" s="25">
        <v>11000</v>
      </c>
      <c r="U13" s="25"/>
      <c r="V13" s="25"/>
      <c r="W13" s="25"/>
      <c r="X13" s="25">
        <f t="shared" ref="X13:X15" si="0">T13*0.1</f>
        <v>1100</v>
      </c>
      <c r="Y13" s="25"/>
      <c r="Z13" s="25"/>
      <c r="AA13" s="25"/>
      <c r="AB13" s="25"/>
      <c r="AC13" s="25">
        <f t="shared" ref="AC13:AC15" si="1">(T13+X13)*R13</f>
        <v>2420000</v>
      </c>
      <c r="AD13" s="19"/>
      <c r="AE13" s="19"/>
      <c r="AF13" s="19"/>
    </row>
    <row r="14" spans="1:32" ht="20.100000000000001" customHeight="1">
      <c r="A14" s="19">
        <v>3</v>
      </c>
      <c r="B14" s="19"/>
      <c r="C14" s="24"/>
      <c r="D14" s="24"/>
      <c r="E14" s="24"/>
      <c r="F14" s="24"/>
      <c r="G14" s="24"/>
      <c r="H14" s="24"/>
      <c r="I14" s="24"/>
      <c r="J14" s="24"/>
      <c r="K14" s="24"/>
      <c r="L14" s="19"/>
      <c r="M14" s="19"/>
      <c r="N14" s="19"/>
      <c r="O14" s="19"/>
      <c r="P14" s="19"/>
      <c r="Q14" s="19"/>
      <c r="R14" s="19"/>
      <c r="S14" s="19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19"/>
      <c r="AE14" s="19"/>
      <c r="AF14" s="19"/>
    </row>
    <row r="15" spans="1:32" ht="20.100000000000001" customHeight="1">
      <c r="A15" s="19">
        <v>4</v>
      </c>
      <c r="B15" s="19"/>
      <c r="C15" s="24"/>
      <c r="D15" s="24"/>
      <c r="E15" s="24"/>
      <c r="F15" s="24"/>
      <c r="G15" s="24"/>
      <c r="H15" s="24"/>
      <c r="I15" s="24"/>
      <c r="J15" s="24"/>
      <c r="K15" s="24"/>
      <c r="L15" s="19"/>
      <c r="M15" s="19"/>
      <c r="N15" s="19"/>
      <c r="O15" s="19"/>
      <c r="P15" s="19"/>
      <c r="Q15" s="19"/>
      <c r="R15" s="19"/>
      <c r="S15" s="19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19"/>
      <c r="AE15" s="19"/>
      <c r="AF15" s="19"/>
    </row>
    <row r="16" spans="1:32" ht="20.100000000000001" customHeight="1">
      <c r="A16" s="19">
        <v>5</v>
      </c>
      <c r="B16" s="19"/>
      <c r="C16" s="24"/>
      <c r="D16" s="24"/>
      <c r="E16" s="24"/>
      <c r="F16" s="24"/>
      <c r="G16" s="24"/>
      <c r="H16" s="24"/>
      <c r="I16" s="24"/>
      <c r="J16" s="24"/>
      <c r="K16" s="24"/>
      <c r="L16" s="19"/>
      <c r="M16" s="19"/>
      <c r="N16" s="19"/>
      <c r="O16" s="19"/>
      <c r="P16" s="19"/>
      <c r="Q16" s="19"/>
      <c r="R16" s="19"/>
      <c r="S16" s="19"/>
      <c r="T16" s="25"/>
      <c r="U16" s="25"/>
      <c r="V16" s="25"/>
      <c r="W16" s="25"/>
      <c r="X16" s="25"/>
      <c r="Y16" s="25"/>
      <c r="Z16" s="25"/>
      <c r="AA16" s="25"/>
      <c r="AB16" s="25"/>
      <c r="AC16" s="19"/>
      <c r="AD16" s="19"/>
      <c r="AE16" s="19"/>
      <c r="AF16" s="19"/>
    </row>
    <row r="17" spans="1:32" ht="20.100000000000001" customHeight="1">
      <c r="A17" s="19">
        <v>6</v>
      </c>
      <c r="B17" s="19"/>
      <c r="C17" s="24"/>
      <c r="D17" s="24"/>
      <c r="E17" s="24"/>
      <c r="F17" s="24"/>
      <c r="G17" s="24"/>
      <c r="H17" s="24"/>
      <c r="I17" s="24"/>
      <c r="J17" s="24"/>
      <c r="K17" s="24"/>
      <c r="L17" s="19"/>
      <c r="M17" s="19"/>
      <c r="N17" s="19"/>
      <c r="O17" s="19"/>
      <c r="P17" s="19"/>
      <c r="Q17" s="19"/>
      <c r="R17" s="19"/>
      <c r="S17" s="19"/>
      <c r="T17" s="25"/>
      <c r="U17" s="25"/>
      <c r="V17" s="25"/>
      <c r="W17" s="25"/>
      <c r="X17" s="25"/>
      <c r="Y17" s="25"/>
      <c r="Z17" s="25"/>
      <c r="AA17" s="25"/>
      <c r="AB17" s="25"/>
      <c r="AC17" s="19"/>
      <c r="AD17" s="19"/>
      <c r="AE17" s="19"/>
      <c r="AF17" s="19"/>
    </row>
    <row r="18" spans="1:32" ht="20.100000000000001" customHeight="1">
      <c r="A18" s="19">
        <v>7</v>
      </c>
      <c r="B18" s="19"/>
      <c r="C18" s="24"/>
      <c r="D18" s="24"/>
      <c r="E18" s="24"/>
      <c r="F18" s="24"/>
      <c r="G18" s="24"/>
      <c r="H18" s="24"/>
      <c r="I18" s="24"/>
      <c r="J18" s="24"/>
      <c r="K18" s="24"/>
      <c r="L18" s="19"/>
      <c r="M18" s="19"/>
      <c r="N18" s="19"/>
      <c r="O18" s="19"/>
      <c r="P18" s="19"/>
      <c r="Q18" s="19"/>
      <c r="R18" s="19"/>
      <c r="S18" s="19"/>
      <c r="T18" s="25"/>
      <c r="U18" s="25"/>
      <c r="V18" s="25"/>
      <c r="W18" s="25"/>
      <c r="X18" s="25"/>
      <c r="Y18" s="25"/>
      <c r="Z18" s="25"/>
      <c r="AA18" s="25"/>
      <c r="AB18" s="25"/>
      <c r="AC18" s="19"/>
      <c r="AD18" s="19"/>
      <c r="AE18" s="19"/>
      <c r="AF18" s="19"/>
    </row>
    <row r="19" spans="1:32" ht="20.100000000000001" customHeight="1">
      <c r="A19" s="19">
        <v>8</v>
      </c>
      <c r="B19" s="19"/>
      <c r="C19" s="24"/>
      <c r="D19" s="24"/>
      <c r="E19" s="24"/>
      <c r="F19" s="24"/>
      <c r="G19" s="24"/>
      <c r="H19" s="24"/>
      <c r="I19" s="24"/>
      <c r="J19" s="24"/>
      <c r="K19" s="24"/>
      <c r="L19" s="19"/>
      <c r="M19" s="19"/>
      <c r="N19" s="19"/>
      <c r="O19" s="19"/>
      <c r="P19" s="19"/>
      <c r="Q19" s="19"/>
      <c r="R19" s="19"/>
      <c r="S19" s="19"/>
      <c r="T19" s="25"/>
      <c r="U19" s="25"/>
      <c r="V19" s="25"/>
      <c r="W19" s="25"/>
      <c r="X19" s="25"/>
      <c r="Y19" s="25"/>
      <c r="Z19" s="25"/>
      <c r="AA19" s="25"/>
      <c r="AB19" s="25"/>
      <c r="AC19" s="19"/>
      <c r="AD19" s="19"/>
      <c r="AE19" s="19"/>
      <c r="AF19" s="19"/>
    </row>
    <row r="20" spans="1:32" ht="20.100000000000001" customHeight="1">
      <c r="A20" s="19">
        <v>9</v>
      </c>
      <c r="B20" s="19"/>
      <c r="C20" s="24"/>
      <c r="D20" s="24"/>
      <c r="E20" s="24"/>
      <c r="F20" s="24"/>
      <c r="G20" s="24"/>
      <c r="H20" s="24"/>
      <c r="I20" s="24"/>
      <c r="J20" s="24"/>
      <c r="K20" s="24"/>
      <c r="L20" s="19"/>
      <c r="M20" s="19"/>
      <c r="N20" s="19"/>
      <c r="O20" s="19"/>
      <c r="P20" s="19"/>
      <c r="Q20" s="19"/>
      <c r="R20" s="19"/>
      <c r="S20" s="19"/>
      <c r="T20" s="25"/>
      <c r="U20" s="25"/>
      <c r="V20" s="25"/>
      <c r="W20" s="25"/>
      <c r="X20" s="25"/>
      <c r="Y20" s="25"/>
      <c r="Z20" s="25"/>
      <c r="AA20" s="25"/>
      <c r="AB20" s="25"/>
      <c r="AC20" s="19"/>
      <c r="AD20" s="19"/>
      <c r="AE20" s="19"/>
      <c r="AF20" s="19"/>
    </row>
    <row r="21" spans="1:32" ht="20.100000000000001" customHeight="1">
      <c r="A21" s="19">
        <v>10</v>
      </c>
      <c r="B21" s="19"/>
      <c r="C21" s="24"/>
      <c r="D21" s="24"/>
      <c r="E21" s="24"/>
      <c r="F21" s="24"/>
      <c r="G21" s="24"/>
      <c r="H21" s="24"/>
      <c r="I21" s="24"/>
      <c r="J21" s="24"/>
      <c r="K21" s="24"/>
      <c r="L21" s="19"/>
      <c r="M21" s="19"/>
      <c r="N21" s="19"/>
      <c r="O21" s="19"/>
      <c r="P21" s="19"/>
      <c r="Q21" s="19"/>
      <c r="R21" s="19"/>
      <c r="S21" s="19"/>
      <c r="T21" s="25"/>
      <c r="U21" s="25"/>
      <c r="V21" s="25"/>
      <c r="W21" s="25"/>
      <c r="X21" s="25"/>
      <c r="Y21" s="25"/>
      <c r="Z21" s="25"/>
      <c r="AA21" s="25"/>
      <c r="AB21" s="25"/>
      <c r="AC21" s="19"/>
      <c r="AD21" s="19"/>
      <c r="AE21" s="19"/>
      <c r="AF21" s="19"/>
    </row>
    <row r="22" spans="1:32" ht="20.100000000000001" customHeight="1">
      <c r="A22" s="19">
        <v>11</v>
      </c>
      <c r="B22" s="19"/>
      <c r="C22" s="24"/>
      <c r="D22" s="24"/>
      <c r="E22" s="24"/>
      <c r="F22" s="24"/>
      <c r="G22" s="24"/>
      <c r="H22" s="24"/>
      <c r="I22" s="24"/>
      <c r="J22" s="24"/>
      <c r="K22" s="24"/>
      <c r="L22" s="19"/>
      <c r="M22" s="19"/>
      <c r="N22" s="19"/>
      <c r="O22" s="19"/>
      <c r="P22" s="19"/>
      <c r="Q22" s="19"/>
      <c r="R22" s="19"/>
      <c r="S22" s="19"/>
      <c r="T22" s="25"/>
      <c r="U22" s="25"/>
      <c r="V22" s="25"/>
      <c r="W22" s="25"/>
      <c r="X22" s="25"/>
      <c r="Y22" s="25"/>
      <c r="Z22" s="25"/>
      <c r="AA22" s="25"/>
      <c r="AB22" s="25"/>
      <c r="AC22" s="19"/>
      <c r="AD22" s="19"/>
      <c r="AE22" s="19"/>
      <c r="AF22" s="19"/>
    </row>
    <row r="23" spans="1:32" ht="20.100000000000001" customHeight="1">
      <c r="A23" s="19">
        <v>12</v>
      </c>
      <c r="B23" s="19"/>
      <c r="C23" s="24"/>
      <c r="D23" s="24"/>
      <c r="E23" s="24"/>
      <c r="F23" s="24"/>
      <c r="G23" s="24"/>
      <c r="H23" s="24"/>
      <c r="I23" s="24"/>
      <c r="J23" s="24"/>
      <c r="K23" s="24"/>
      <c r="L23" s="19"/>
      <c r="M23" s="19"/>
      <c r="N23" s="19"/>
      <c r="O23" s="19"/>
      <c r="P23" s="19"/>
      <c r="Q23" s="19"/>
      <c r="R23" s="19"/>
      <c r="S23" s="19"/>
      <c r="T23" s="25"/>
      <c r="U23" s="25"/>
      <c r="V23" s="25"/>
      <c r="W23" s="25"/>
      <c r="X23" s="25"/>
      <c r="Y23" s="25"/>
      <c r="Z23" s="25"/>
      <c r="AA23" s="25"/>
      <c r="AB23" s="25"/>
      <c r="AC23" s="19"/>
      <c r="AD23" s="19"/>
      <c r="AE23" s="19"/>
      <c r="AF23" s="19"/>
    </row>
    <row r="24" spans="1:32" ht="20.100000000000001" customHeight="1">
      <c r="A24" s="19"/>
      <c r="B24" s="19"/>
      <c r="C24" s="24"/>
      <c r="D24" s="24"/>
      <c r="E24" s="24"/>
      <c r="F24" s="24"/>
      <c r="G24" s="24"/>
      <c r="H24" s="24"/>
      <c r="I24" s="24"/>
      <c r="J24" s="24"/>
      <c r="K24" s="24"/>
      <c r="L24" s="19"/>
      <c r="M24" s="19"/>
      <c r="N24" s="19"/>
      <c r="O24" s="19"/>
      <c r="P24" s="19"/>
      <c r="Q24" s="19"/>
      <c r="R24" s="19"/>
      <c r="S24" s="19"/>
      <c r="T24" s="25"/>
      <c r="U24" s="25"/>
      <c r="V24" s="25"/>
      <c r="W24" s="25"/>
      <c r="X24" s="25"/>
      <c r="Y24" s="25"/>
      <c r="Z24" s="25"/>
      <c r="AA24" s="25"/>
      <c r="AB24" s="25"/>
      <c r="AC24" s="19"/>
      <c r="AD24" s="19"/>
      <c r="AE24" s="19"/>
      <c r="AF24" s="19"/>
    </row>
    <row r="25" spans="1:32" ht="20.100000000000001" customHeight="1">
      <c r="A25" s="19"/>
      <c r="B25" s="19"/>
      <c r="C25" s="24"/>
      <c r="D25" s="24"/>
      <c r="E25" s="24"/>
      <c r="F25" s="24"/>
      <c r="G25" s="24"/>
      <c r="H25" s="24"/>
      <c r="I25" s="24"/>
      <c r="J25" s="24"/>
      <c r="K25" s="24"/>
      <c r="L25" s="19"/>
      <c r="M25" s="19"/>
      <c r="N25" s="19"/>
      <c r="O25" s="19"/>
      <c r="P25" s="19"/>
      <c r="Q25" s="19"/>
      <c r="R25" s="19"/>
      <c r="S25" s="19"/>
      <c r="T25" s="25"/>
      <c r="U25" s="25"/>
      <c r="V25" s="25"/>
      <c r="W25" s="25"/>
      <c r="X25" s="25"/>
      <c r="Y25" s="25"/>
      <c r="Z25" s="25"/>
      <c r="AA25" s="25"/>
      <c r="AB25" s="25"/>
      <c r="AC25" s="19"/>
      <c r="AD25" s="19"/>
      <c r="AE25" s="19"/>
      <c r="AF25" s="19"/>
    </row>
    <row r="26" spans="1:32" ht="20.100000000000001" customHeight="1">
      <c r="A26" s="19"/>
      <c r="B26" s="19"/>
      <c r="C26" s="24"/>
      <c r="D26" s="24"/>
      <c r="E26" s="24"/>
      <c r="F26" s="24"/>
      <c r="G26" s="24"/>
      <c r="H26" s="24"/>
      <c r="I26" s="24"/>
      <c r="J26" s="24"/>
      <c r="K26" s="24"/>
      <c r="L26" s="19"/>
      <c r="M26" s="19"/>
      <c r="N26" s="19"/>
      <c r="O26" s="19"/>
      <c r="P26" s="19"/>
      <c r="Q26" s="19"/>
      <c r="R26" s="19"/>
      <c r="S26" s="19"/>
      <c r="T26" s="25"/>
      <c r="U26" s="25"/>
      <c r="V26" s="25"/>
      <c r="W26" s="25"/>
      <c r="X26" s="25"/>
      <c r="Y26" s="25"/>
      <c r="Z26" s="25"/>
      <c r="AA26" s="25"/>
      <c r="AB26" s="25"/>
      <c r="AC26" s="19"/>
      <c r="AD26" s="19"/>
      <c r="AE26" s="19"/>
      <c r="AF26" s="19"/>
    </row>
    <row r="27" spans="1:32" ht="20.100000000000001" customHeight="1">
      <c r="A27" s="19"/>
      <c r="B27" s="19"/>
      <c r="C27" s="24"/>
      <c r="D27" s="24"/>
      <c r="E27" s="24"/>
      <c r="F27" s="24"/>
      <c r="G27" s="24"/>
      <c r="H27" s="24"/>
      <c r="I27" s="24"/>
      <c r="J27" s="24"/>
      <c r="K27" s="24"/>
      <c r="L27" s="19"/>
      <c r="M27" s="19"/>
      <c r="N27" s="19"/>
      <c r="O27" s="19"/>
      <c r="P27" s="19"/>
      <c r="Q27" s="19"/>
      <c r="R27" s="19"/>
      <c r="S27" s="19"/>
      <c r="T27" s="25"/>
      <c r="U27" s="25"/>
      <c r="V27" s="25"/>
      <c r="W27" s="25"/>
      <c r="X27" s="25"/>
      <c r="Y27" s="25"/>
      <c r="Z27" s="25"/>
      <c r="AA27" s="25"/>
      <c r="AB27" s="25"/>
      <c r="AC27" s="19"/>
      <c r="AD27" s="19"/>
      <c r="AE27" s="19"/>
      <c r="AF27" s="19"/>
    </row>
    <row r="28" spans="1:32" ht="20.100000000000001" customHeight="1">
      <c r="A28" s="19"/>
      <c r="B28" s="19"/>
      <c r="C28" s="24"/>
      <c r="D28" s="24"/>
      <c r="E28" s="24"/>
      <c r="F28" s="24"/>
      <c r="G28" s="24"/>
      <c r="H28" s="24"/>
      <c r="I28" s="24"/>
      <c r="J28" s="24"/>
      <c r="K28" s="24"/>
      <c r="L28" s="19"/>
      <c r="M28" s="19"/>
      <c r="N28" s="19"/>
      <c r="O28" s="19"/>
      <c r="P28" s="19"/>
      <c r="Q28" s="19"/>
      <c r="R28" s="19"/>
      <c r="S28" s="19"/>
      <c r="T28" s="25"/>
      <c r="U28" s="25"/>
      <c r="V28" s="25"/>
      <c r="W28" s="25"/>
      <c r="X28" s="25"/>
      <c r="Y28" s="25"/>
      <c r="Z28" s="25"/>
      <c r="AA28" s="25"/>
      <c r="AB28" s="25"/>
      <c r="AC28" s="19"/>
      <c r="AD28" s="19"/>
      <c r="AE28" s="19"/>
      <c r="AF28" s="19"/>
    </row>
    <row r="29" spans="1:32" ht="20.100000000000001" customHeight="1">
      <c r="A29" s="23"/>
      <c r="B29" s="23"/>
      <c r="C29" s="26"/>
      <c r="D29" s="26"/>
      <c r="E29" s="26"/>
      <c r="F29" s="26"/>
      <c r="G29" s="26"/>
      <c r="H29" s="26"/>
      <c r="I29" s="26"/>
      <c r="J29" s="26"/>
      <c r="K29" s="26"/>
      <c r="L29" s="23"/>
      <c r="M29" s="23"/>
      <c r="N29" s="23"/>
      <c r="O29" s="23"/>
      <c r="P29" s="23"/>
      <c r="Q29" s="23"/>
      <c r="R29" s="23"/>
      <c r="S29" s="23"/>
      <c r="T29" s="22"/>
      <c r="U29" s="22"/>
      <c r="V29" s="22"/>
      <c r="W29" s="22"/>
      <c r="X29" s="22"/>
      <c r="Y29" s="22"/>
      <c r="Z29" s="22"/>
      <c r="AA29" s="22"/>
      <c r="AB29" s="22"/>
      <c r="AC29" s="23"/>
      <c r="AD29" s="23"/>
      <c r="AE29" s="23"/>
      <c r="AF29" s="23"/>
    </row>
    <row r="30" spans="1:32" ht="20.100000000000001" customHeight="1">
      <c r="A30" s="19" t="s">
        <v>36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25">
        <f>SUM(AC12:AF29)</f>
        <v>7040000</v>
      </c>
      <c r="AD30" s="19"/>
      <c r="AE30" s="19"/>
      <c r="AF30" s="19"/>
    </row>
    <row r="31" spans="1:32" ht="20.100000000000001" customHeight="1">
      <c r="A31" s="19" t="s">
        <v>37</v>
      </c>
      <c r="B31" s="19"/>
      <c r="C31" s="19"/>
      <c r="D31" s="19"/>
      <c r="E31" s="19" t="s">
        <v>38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 t="s">
        <v>39</v>
      </c>
      <c r="Q31" s="19"/>
      <c r="R31" s="19"/>
      <c r="S31" s="19"/>
      <c r="T31" s="19" t="str">
        <f>" "&amp;A4</f>
        <v xml:space="preserve"> 거래처명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ht="20.100000000000001" customHeight="1">
      <c r="A32" s="10" t="s">
        <v>40</v>
      </c>
      <c r="B32" s="11"/>
      <c r="C32" s="11"/>
      <c r="D32" s="12"/>
      <c r="E32" s="27" t="s">
        <v>41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 t="s">
        <v>42</v>
      </c>
      <c r="Y32" s="27"/>
      <c r="Z32" s="27"/>
      <c r="AA32" s="27"/>
      <c r="AB32" s="27"/>
      <c r="AC32" s="27" t="s">
        <v>43</v>
      </c>
      <c r="AD32" s="27"/>
      <c r="AE32" s="27"/>
      <c r="AF32" s="27"/>
    </row>
    <row r="33" spans="1:32" ht="20.100000000000001" customHeight="1">
      <c r="A33" s="7" t="s">
        <v>44</v>
      </c>
      <c r="B33" s="8"/>
      <c r="C33" s="8"/>
      <c r="D33" s="9"/>
      <c r="E33" s="13" t="s">
        <v>45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5"/>
    </row>
    <row r="34" spans="1:32" ht="20.25" customHeight="1">
      <c r="A34" s="10"/>
      <c r="B34" s="11"/>
      <c r="C34" s="11"/>
      <c r="D34" s="12"/>
      <c r="E34" s="16" t="s">
        <v>46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8"/>
    </row>
    <row r="40" spans="1:32" s="3" customFormat="1" ht="14.25">
      <c r="A40" s="2"/>
      <c r="B40" s="2"/>
      <c r="C40" s="2"/>
      <c r="D40" s="2"/>
      <c r="E40" s="2"/>
      <c r="F40" s="2"/>
      <c r="G40" s="2"/>
      <c r="H40" s="2"/>
    </row>
    <row r="41" spans="1:32" ht="14.25"/>
    <row r="42" spans="1:32" ht="14.25"/>
  </sheetData>
  <mergeCells count="193">
    <mergeCell ref="K4:M8"/>
    <mergeCell ref="A4:J8"/>
    <mergeCell ref="N4:Q4"/>
    <mergeCell ref="N5:Q5"/>
    <mergeCell ref="N6:Q6"/>
    <mergeCell ref="N7:Q7"/>
    <mergeCell ref="N8:Q8"/>
    <mergeCell ref="R4:W4"/>
    <mergeCell ref="R6:W6"/>
    <mergeCell ref="R7:W7"/>
    <mergeCell ref="R8:W8"/>
    <mergeCell ref="R5:AF5"/>
    <mergeCell ref="A30:AB30"/>
    <mergeCell ref="AB6:AF6"/>
    <mergeCell ref="A1:AF3"/>
    <mergeCell ref="X4:AA4"/>
    <mergeCell ref="AB4:AF4"/>
    <mergeCell ref="X6:AA6"/>
    <mergeCell ref="X8:AA8"/>
    <mergeCell ref="AB8:AF8"/>
    <mergeCell ref="A9:AF9"/>
    <mergeCell ref="A10:D10"/>
    <mergeCell ref="E10:J10"/>
    <mergeCell ref="L10:R10"/>
    <mergeCell ref="S10:T10"/>
    <mergeCell ref="X7:AA7"/>
    <mergeCell ref="AB7:AF7"/>
    <mergeCell ref="X11:AB11"/>
    <mergeCell ref="AC11:AF11"/>
    <mergeCell ref="A12:B12"/>
    <mergeCell ref="C12:K12"/>
    <mergeCell ref="L12:O12"/>
    <mergeCell ref="P12:Q12"/>
    <mergeCell ref="R12:S12"/>
    <mergeCell ref="T12:W12"/>
    <mergeCell ref="X12:AB12"/>
    <mergeCell ref="AC12:AF12"/>
    <mergeCell ref="A11:B11"/>
    <mergeCell ref="C11:K11"/>
    <mergeCell ref="L11:O11"/>
    <mergeCell ref="P11:Q11"/>
    <mergeCell ref="R11:S11"/>
    <mergeCell ref="T11:W11"/>
    <mergeCell ref="X13:AB13"/>
    <mergeCell ref="AC13:AF13"/>
    <mergeCell ref="A14:B14"/>
    <mergeCell ref="C14:K14"/>
    <mergeCell ref="L14:O14"/>
    <mergeCell ref="P14:Q14"/>
    <mergeCell ref="R14:S14"/>
    <mergeCell ref="T14:W14"/>
    <mergeCell ref="X14:AB14"/>
    <mergeCell ref="AC14:AF14"/>
    <mergeCell ref="A13:B13"/>
    <mergeCell ref="C13:K13"/>
    <mergeCell ref="L13:O13"/>
    <mergeCell ref="P13:Q13"/>
    <mergeCell ref="R13:S13"/>
    <mergeCell ref="T13:W13"/>
    <mergeCell ref="X15:AB15"/>
    <mergeCell ref="AC15:AF15"/>
    <mergeCell ref="A16:B16"/>
    <mergeCell ref="C16:K16"/>
    <mergeCell ref="L16:O16"/>
    <mergeCell ref="P16:Q16"/>
    <mergeCell ref="R16:S16"/>
    <mergeCell ref="T16:W16"/>
    <mergeCell ref="X16:AB16"/>
    <mergeCell ref="AC16:AF16"/>
    <mergeCell ref="A15:B15"/>
    <mergeCell ref="C15:K15"/>
    <mergeCell ref="L15:O15"/>
    <mergeCell ref="P15:Q15"/>
    <mergeCell ref="R15:S15"/>
    <mergeCell ref="T15:W15"/>
    <mergeCell ref="X17:AB17"/>
    <mergeCell ref="AC17:AF17"/>
    <mergeCell ref="A18:B18"/>
    <mergeCell ref="C18:K18"/>
    <mergeCell ref="L18:O18"/>
    <mergeCell ref="P18:Q18"/>
    <mergeCell ref="R18:S18"/>
    <mergeCell ref="T18:W18"/>
    <mergeCell ref="X18:AB18"/>
    <mergeCell ref="AC18:AF18"/>
    <mergeCell ref="A17:B17"/>
    <mergeCell ref="C17:K17"/>
    <mergeCell ref="L17:O17"/>
    <mergeCell ref="P17:Q17"/>
    <mergeCell ref="R17:S17"/>
    <mergeCell ref="T17:W17"/>
    <mergeCell ref="X19:AB19"/>
    <mergeCell ref="AC19:AF19"/>
    <mergeCell ref="A20:B20"/>
    <mergeCell ref="C20:K20"/>
    <mergeCell ref="L20:O20"/>
    <mergeCell ref="P20:Q20"/>
    <mergeCell ref="R20:S20"/>
    <mergeCell ref="T20:W20"/>
    <mergeCell ref="X20:AB20"/>
    <mergeCell ref="AC20:AF20"/>
    <mergeCell ref="A19:B19"/>
    <mergeCell ref="C19:K19"/>
    <mergeCell ref="L19:O19"/>
    <mergeCell ref="P19:Q19"/>
    <mergeCell ref="R19:S19"/>
    <mergeCell ref="T19:W19"/>
    <mergeCell ref="X21:AB21"/>
    <mergeCell ref="AC21:AF21"/>
    <mergeCell ref="A22:B22"/>
    <mergeCell ref="C22:K22"/>
    <mergeCell ref="L22:O22"/>
    <mergeCell ref="P22:Q22"/>
    <mergeCell ref="R22:S22"/>
    <mergeCell ref="T22:W22"/>
    <mergeCell ref="X22:AB22"/>
    <mergeCell ref="AC22:AF22"/>
    <mergeCell ref="A21:B21"/>
    <mergeCell ref="C21:K21"/>
    <mergeCell ref="L21:O21"/>
    <mergeCell ref="P21:Q21"/>
    <mergeCell ref="R21:S21"/>
    <mergeCell ref="T21:W21"/>
    <mergeCell ref="X23:AB23"/>
    <mergeCell ref="AC23:AF23"/>
    <mergeCell ref="A24:B24"/>
    <mergeCell ref="C24:K24"/>
    <mergeCell ref="L24:O24"/>
    <mergeCell ref="P24:Q24"/>
    <mergeCell ref="R24:S24"/>
    <mergeCell ref="T24:W24"/>
    <mergeCell ref="X24:AB24"/>
    <mergeCell ref="AC24:AF24"/>
    <mergeCell ref="A23:B23"/>
    <mergeCell ref="C23:K23"/>
    <mergeCell ref="L23:O23"/>
    <mergeCell ref="P23:Q23"/>
    <mergeCell ref="R23:S23"/>
    <mergeCell ref="T23:W23"/>
    <mergeCell ref="X25:AB25"/>
    <mergeCell ref="AC25:AF25"/>
    <mergeCell ref="A26:B26"/>
    <mergeCell ref="C26:K26"/>
    <mergeCell ref="L26:O26"/>
    <mergeCell ref="P26:Q26"/>
    <mergeCell ref="R26:S26"/>
    <mergeCell ref="T26:W26"/>
    <mergeCell ref="X26:AB26"/>
    <mergeCell ref="AC26:AF26"/>
    <mergeCell ref="A25:B25"/>
    <mergeCell ref="C25:K25"/>
    <mergeCell ref="L25:O25"/>
    <mergeCell ref="P25:Q25"/>
    <mergeCell ref="R25:S25"/>
    <mergeCell ref="T25:W25"/>
    <mergeCell ref="A28:B28"/>
    <mergeCell ref="C28:K28"/>
    <mergeCell ref="L28:O28"/>
    <mergeCell ref="P28:Q28"/>
    <mergeCell ref="R28:S28"/>
    <mergeCell ref="T28:W28"/>
    <mergeCell ref="X28:AB28"/>
    <mergeCell ref="AC28:AF28"/>
    <mergeCell ref="A27:B27"/>
    <mergeCell ref="C27:K27"/>
    <mergeCell ref="L27:O27"/>
    <mergeCell ref="P27:Q27"/>
    <mergeCell ref="R27:S27"/>
    <mergeCell ref="T27:W27"/>
    <mergeCell ref="A33:D34"/>
    <mergeCell ref="E33:AF33"/>
    <mergeCell ref="E34:AF34"/>
    <mergeCell ref="A31:D31"/>
    <mergeCell ref="X10:AB10"/>
    <mergeCell ref="AC10:AF10"/>
    <mergeCell ref="X29:AB29"/>
    <mergeCell ref="AC29:AF29"/>
    <mergeCell ref="P31:S31"/>
    <mergeCell ref="T31:AF31"/>
    <mergeCell ref="AC30:AF30"/>
    <mergeCell ref="A29:B29"/>
    <mergeCell ref="C29:K29"/>
    <mergeCell ref="L29:O29"/>
    <mergeCell ref="P29:Q29"/>
    <mergeCell ref="R29:S29"/>
    <mergeCell ref="T29:W29"/>
    <mergeCell ref="X27:AB27"/>
    <mergeCell ref="E32:W32"/>
    <mergeCell ref="A32:D32"/>
    <mergeCell ref="E31:O31"/>
    <mergeCell ref="X32:AB32"/>
    <mergeCell ref="AC32:AF32"/>
    <mergeCell ref="AC27:AF27"/>
  </mergeCells>
  <phoneticPr fontId="12" type="noConversion"/>
  <pageMargins left="0.69999998807907104" right="0.69999998807907104" top="0.75" bottom="0.75" header="0.30000001192092896" footer="0.30000001192092896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/>
  <cp:revision>2</cp:revision>
  <dcterms:created xsi:type="dcterms:W3CDTF">2013-01-24T13:12:57Z</dcterms:created>
  <dcterms:modified xsi:type="dcterms:W3CDTF">2025-12-08T07:56:30Z</dcterms:modified>
  <cp:category/>
  <cp:contentStatus/>
</cp:coreProperties>
</file>
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6155" windowHeight="8940" tabRatio="600" firstSheet="0" activeTab="0" autoFilterDateGrouping="1"/>
  </bookViews>
  <sheets>
    <sheet name="하비브라운_견적서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_-&quot;₩&quot;* #,##0_-;\-&quot;₩&quot;* #,##0_-;_-&quot;₩&quot;* &quot;-&quot;_-;_-@_-"/>
    <numFmt numFmtId="166" formatCode="[DBNum4][$-412]General"/>
  </numFmts>
  <fonts count="25">
    <font>
      <name val="나눔고딕"/>
      <charset val="129"/>
      <family val="3"/>
      <sz val="11"/>
    </font>
    <font>
      <name val="나눔고딕"/>
      <charset val="129"/>
      <family val="3"/>
      <color indexed="9"/>
      <sz val="11"/>
    </font>
    <font>
      <name val="나눔고딕"/>
      <charset val="129"/>
      <family val="3"/>
      <color indexed="10"/>
      <sz val="11"/>
    </font>
    <font>
      <name val="나눔고딕"/>
      <charset val="129"/>
      <family val="3"/>
      <b val="1"/>
      <color indexed="9"/>
      <sz val="11"/>
    </font>
    <font>
      <name val="돋움"/>
      <charset val="129"/>
      <family val="3"/>
      <color indexed="8"/>
      <sz val="11"/>
    </font>
    <font>
      <name val="나눔고딕"/>
      <charset val="129"/>
      <family val="3"/>
      <b val="1"/>
      <color indexed="8"/>
      <sz val="11"/>
    </font>
    <font>
      <name val="나눔고딕"/>
      <charset val="129"/>
      <family val="3"/>
      <color indexed="8"/>
      <sz val="10"/>
    </font>
    <font>
      <name val="나눔고딕"/>
      <charset val="129"/>
      <family val="3"/>
      <color indexed="8"/>
      <sz val="12"/>
    </font>
    <font>
      <name val="나눔고딕"/>
      <charset val="129"/>
      <family val="3"/>
      <b val="1"/>
      <color indexed="8"/>
      <sz val="10"/>
    </font>
    <font>
      <name val="나눔고딕"/>
      <charset val="129"/>
      <family val="3"/>
      <b val="1"/>
      <color indexed="8"/>
      <sz val="20"/>
    </font>
    <font>
      <name val="나눔고딕"/>
      <charset val="129"/>
      <family val="3"/>
      <color indexed="8"/>
      <sz val="20"/>
    </font>
    <font>
      <name val="나눔고딕"/>
      <charset val="129"/>
      <family val="3"/>
      <sz val="11"/>
    </font>
    <font>
      <name val="돋움"/>
      <charset val="129"/>
      <family val="3"/>
      <sz val="8"/>
    </font>
    <font>
      <name val="나눔고딕"/>
      <charset val="129"/>
      <family val="3"/>
      <b val="1"/>
      <color rgb="FFFA7D00"/>
      <sz val="11"/>
    </font>
    <font>
      <name val="나눔고딕"/>
      <charset val="129"/>
      <family val="3"/>
      <color rgb="FF9C0006"/>
      <sz val="11"/>
    </font>
    <font>
      <name val="나눔고딕"/>
      <charset val="129"/>
      <family val="3"/>
      <color rgb="FF9C6500"/>
      <sz val="11"/>
    </font>
    <font>
      <name val="나눔고딕"/>
      <charset val="129"/>
      <family val="3"/>
      <i val="1"/>
      <color rgb="FF7F7F7F"/>
      <sz val="11"/>
    </font>
    <font>
      <name val="나눔고딕"/>
      <charset val="129"/>
      <family val="3"/>
      <color rgb="FFFA7D00"/>
      <sz val="11"/>
    </font>
    <font>
      <name val="나눔고딕"/>
      <charset val="129"/>
      <family val="3"/>
      <color rgb="FF3F3F76"/>
      <sz val="11"/>
    </font>
    <font>
      <name val="맑은 고딕"/>
      <charset val="129"/>
      <family val="3"/>
      <b val="1"/>
      <color rgb="FF1F497D"/>
      <sz val="18"/>
    </font>
    <font>
      <name val="나눔고딕"/>
      <charset val="129"/>
      <family val="3"/>
      <b val="1"/>
      <color rgb="FF1F497D"/>
      <sz val="15"/>
    </font>
    <font>
      <name val="나눔고딕"/>
      <charset val="129"/>
      <family val="3"/>
      <b val="1"/>
      <color rgb="FF1F497D"/>
      <sz val="13"/>
    </font>
    <font>
      <name val="나눔고딕"/>
      <charset val="129"/>
      <family val="3"/>
      <b val="1"/>
      <color rgb="FF1F497D"/>
      <sz val="11"/>
    </font>
    <font>
      <name val="나눔고딕"/>
      <charset val="129"/>
      <family val="3"/>
      <color rgb="FF006100"/>
      <sz val="11"/>
    </font>
    <font>
      <name val="나눔고딕"/>
      <charset val="129"/>
      <family val="3"/>
      <b val="1"/>
      <color rgb="FF3F3F3F"/>
      <sz val="11"/>
    </font>
  </fonts>
  <fills count="33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B8CCE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rgb="FFB3A2C7"/>
        <bgColor indexed="64"/>
      </patternFill>
    </fill>
    <fill>
      <patternFill patternType="solid">
        <fgColor rgb="FF92CDD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</fills>
  <borders count="83">
    <border>
      <left/>
      <right/>
      <top/>
      <bottom/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C0DE"/>
      </bottom>
      <diagonal/>
    </border>
    <border>
      <left/>
      <right/>
      <top/>
      <bottom style="medium">
        <color rgb="FF96B3D7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rgb="FFFFFFFF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rgb="FFFFFFFF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rgb="FFFFFFFF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rgb="FFFFFFFF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rgb="FFFFFFFF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rgb="FFFFFFFF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rgb="FFFFFFFF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FFFFFF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rgb="FFFFFFFF"/>
      </right>
      <top style="thin">
        <color indexed="9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rgb="FFFFFFFF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9"/>
      </top>
      <bottom/>
      <diagonal/>
    </border>
    <border>
      <left/>
      <right style="thin">
        <color rgb="FFFFFFFF"/>
      </right>
      <top style="thin">
        <color indexed="64"/>
      </top>
      <bottom/>
      <diagonal/>
    </border>
    <border>
      <left/>
      <right style="thin">
        <color rgb="FFFFFFFF"/>
      </right>
      <top style="thin">
        <color indexed="64"/>
      </top>
      <bottom style="thin">
        <color indexed="64"/>
      </bottom>
      <diagonal/>
    </border>
    <border>
      <left/>
      <right style="thin">
        <color rgb="FFFFFFFF"/>
      </right>
      <top style="thin">
        <color indexed="9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45">
    <xf numFmtId="0" fontId="11" fillId="0" borderId="0" applyAlignment="1">
      <alignment vertical="center"/>
    </xf>
    <xf numFmtId="0" fontId="11" fillId="4" borderId="0" applyAlignment="1">
      <alignment vertical="center"/>
    </xf>
    <xf numFmtId="0" fontId="11" fillId="5" borderId="0" applyAlignment="1">
      <alignment vertical="center"/>
    </xf>
    <xf numFmtId="0" fontId="11" fillId="6" borderId="0" applyAlignment="1">
      <alignment vertical="center"/>
    </xf>
    <xf numFmtId="0" fontId="11" fillId="7" borderId="0" applyAlignment="1">
      <alignment vertical="center"/>
    </xf>
    <xf numFmtId="0" fontId="11" fillId="8" borderId="0" applyAlignment="1">
      <alignment vertical="center"/>
    </xf>
    <xf numFmtId="0" fontId="11" fillId="9" borderId="0" applyAlignment="1">
      <alignment vertical="center"/>
    </xf>
    <xf numFmtId="0" fontId="11" fillId="10" borderId="0" applyAlignment="1">
      <alignment vertical="center"/>
    </xf>
    <xf numFmtId="0" fontId="11" fillId="11" borderId="0" applyAlignment="1">
      <alignment vertical="center"/>
    </xf>
    <xf numFmtId="0" fontId="11" fillId="12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5" borderId="0" applyAlignment="1">
      <alignment vertical="center"/>
    </xf>
    <xf numFmtId="0" fontId="1" fillId="16" borderId="0" applyAlignment="1">
      <alignment vertical="center"/>
    </xf>
    <xf numFmtId="0" fontId="1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2" fillId="0" borderId="0" applyAlignment="1">
      <alignment vertical="center"/>
    </xf>
    <xf numFmtId="0" fontId="13" fillId="28" borderId="39" applyAlignment="1">
      <alignment vertical="center"/>
    </xf>
    <xf numFmtId="0" fontId="14" fillId="29" borderId="0" applyAlignment="1">
      <alignment vertical="center"/>
    </xf>
    <xf numFmtId="0" fontId="11" fillId="3" borderId="40" applyAlignment="1">
      <alignment vertical="center"/>
    </xf>
    <xf numFmtId="0" fontId="15" fillId="30" borderId="0" applyAlignment="1">
      <alignment vertical="center"/>
    </xf>
    <xf numFmtId="0" fontId="16" fillId="0" borderId="0" applyAlignment="1">
      <alignment vertical="center"/>
    </xf>
    <xf numFmtId="0" fontId="3" fillId="31" borderId="41" applyAlignment="1">
      <alignment vertical="center"/>
    </xf>
    <xf numFmtId="41" fontId="4" fillId="0" borderId="0" applyAlignment="1">
      <alignment vertical="center"/>
    </xf>
    <xf numFmtId="0" fontId="17" fillId="0" borderId="42" applyAlignment="1">
      <alignment vertical="center"/>
    </xf>
    <xf numFmtId="0" fontId="5" fillId="0" borderId="43" applyAlignment="1">
      <alignment vertical="center"/>
    </xf>
    <xf numFmtId="0" fontId="18" fillId="2" borderId="39" applyAlignment="1">
      <alignment vertical="center"/>
    </xf>
    <xf numFmtId="0" fontId="19" fillId="0" borderId="0" applyAlignment="1">
      <alignment vertical="center"/>
    </xf>
    <xf numFmtId="0" fontId="20" fillId="0" borderId="44" applyAlignment="1">
      <alignment vertical="center"/>
    </xf>
    <xf numFmtId="0" fontId="21" fillId="0" borderId="45" applyAlignment="1">
      <alignment vertical="center"/>
    </xf>
    <xf numFmtId="0" fontId="22" fillId="0" borderId="46" applyAlignment="1">
      <alignment vertical="center"/>
    </xf>
    <xf numFmtId="0" fontId="22" fillId="0" borderId="0" applyAlignment="1">
      <alignment vertical="center"/>
    </xf>
    <xf numFmtId="0" fontId="23" fillId="32" borderId="0" applyAlignment="1">
      <alignment vertical="center"/>
    </xf>
    <xf numFmtId="0" fontId="24" fillId="28" borderId="47" applyAlignment="1">
      <alignment vertical="center"/>
    </xf>
    <xf numFmtId="42" fontId="4" fillId="0" borderId="0" applyAlignment="1">
      <alignment vertical="center"/>
    </xf>
    <xf numFmtId="0" fontId="4" fillId="0" borderId="0" applyAlignment="1">
      <alignment vertical="center"/>
    </xf>
  </cellStyleXfs>
  <cellXfs count="132">
    <xf numFmtId="0" fontId="0" fillId="0" borderId="0" applyAlignment="1" pivotButton="0" quotePrefix="0" xfId="0">
      <alignment vertical="center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6" fillId="0" borderId="4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6" fillId="0" borderId="5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51" applyAlignment="1" pivotButton="0" quotePrefix="0" xfId="0">
      <alignment vertical="center"/>
    </xf>
    <xf numFmtId="0" fontId="6" fillId="0" borderId="52" applyAlignment="1" pivotButton="0" quotePrefix="0" xfId="0">
      <alignment horizontal="left" vertical="center"/>
    </xf>
    <xf numFmtId="0" fontId="6" fillId="0" borderId="53" applyAlignment="1" pivotButton="0" quotePrefix="0" xfId="0">
      <alignment horizontal="left" vertical="center"/>
    </xf>
    <xf numFmtId="0" fontId="6" fillId="0" borderId="54" applyAlignment="1" pivotButton="0" quotePrefix="0" xfId="0">
      <alignment horizontal="right" vertical="center"/>
    </xf>
    <xf numFmtId="0" fontId="6" fillId="0" borderId="54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5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164" fontId="6" fillId="0" borderId="5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6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6" fillId="0" borderId="38" applyAlignment="1" pivotButton="0" quotePrefix="0" xfId="0">
      <alignment horizontal="left" vertical="center"/>
    </xf>
    <xf numFmtId="0" fontId="6" fillId="0" borderId="30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0" fillId="0" borderId="8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164" fontId="6" fillId="0" borderId="57" applyAlignment="1" pivotButton="0" quotePrefix="0" xfId="0">
      <alignment horizontal="center" vertical="center"/>
    </xf>
    <xf numFmtId="164" fontId="6" fillId="0" borderId="58" applyAlignment="1" pivotButton="0" quotePrefix="0" xfId="0">
      <alignment horizontal="center" vertical="center"/>
    </xf>
    <xf numFmtId="164" fontId="6" fillId="0" borderId="59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6" fillId="0" borderId="7" applyAlignment="1" pivotButton="0" quotePrefix="0" xfId="0">
      <alignment horizontal="left" vertical="center"/>
    </xf>
    <xf numFmtId="0" fontId="6" fillId="0" borderId="8" applyAlignment="1" pivotButton="0" quotePrefix="0" xfId="0">
      <alignment horizontal="left" vertical="center"/>
    </xf>
    <xf numFmtId="0" fontId="6" fillId="0" borderId="15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6" fillId="0" borderId="19" applyAlignment="1" pivotButton="0" quotePrefix="0" xfId="0">
      <alignment horizontal="center" vertical="center"/>
    </xf>
    <xf numFmtId="0" fontId="6" fillId="0" borderId="17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6" fillId="0" borderId="26" applyAlignment="1" pivotButton="0" quotePrefix="0" xfId="0">
      <alignment horizontal="center" vertical="center"/>
    </xf>
    <xf numFmtId="164" fontId="6" fillId="0" borderId="27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0" borderId="20" applyAlignment="1" pivotButton="0" quotePrefix="0" xfId="0">
      <alignment horizontal="left" vertical="center"/>
    </xf>
    <xf numFmtId="0" fontId="6" fillId="0" borderId="23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0" borderId="24" applyAlignment="1" pivotButton="0" quotePrefix="0" xfId="0">
      <alignment horizontal="left" vertical="center"/>
    </xf>
    <xf numFmtId="164" fontId="6" fillId="0" borderId="24" applyAlignment="1" pivotButton="0" quotePrefix="0" xfId="0">
      <alignment horizontal="center" vertical="center"/>
    </xf>
    <xf numFmtId="164" fontId="6" fillId="0" borderId="60" applyAlignment="1" pivotButton="0" quotePrefix="0" xfId="0">
      <alignment horizontal="center" vertical="center"/>
    </xf>
    <xf numFmtId="164" fontId="6" fillId="0" borderId="61" applyAlignment="1" pivotButton="0" quotePrefix="0" xfId="0">
      <alignment horizontal="center" vertical="center"/>
    </xf>
    <xf numFmtId="164" fontId="6" fillId="0" borderId="62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56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29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32" applyAlignment="1" pivotButton="0" quotePrefix="0" xfId="0">
      <alignment horizontal="center" vertical="center"/>
    </xf>
    <xf numFmtId="0" fontId="6" fillId="0" borderId="32" applyAlignment="1" pivotButton="0" quotePrefix="0" xfId="0">
      <alignment horizontal="left" vertical="center"/>
    </xf>
    <xf numFmtId="0" fontId="6" fillId="0" borderId="55" applyAlignment="1" pivotButton="0" quotePrefix="0" xfId="0">
      <alignment horizontal="center" vertical="center"/>
    </xf>
    <xf numFmtId="0" fontId="6" fillId="0" borderId="54" applyAlignment="1" pivotButton="0" quotePrefix="0" xfId="0">
      <alignment horizontal="center" vertical="center"/>
    </xf>
    <xf numFmtId="165" fontId="8" fillId="0" borderId="54" applyAlignment="1" pivotButton="0" quotePrefix="0" xfId="0">
      <alignment horizontal="center" vertical="center"/>
    </xf>
    <xf numFmtId="166" fontId="6" fillId="0" borderId="54" applyAlignment="1" pivotButton="0" quotePrefix="0" xfId="0">
      <alignment horizontal="center" vertical="center"/>
    </xf>
    <xf numFmtId="0" fontId="6" fillId="0" borderId="53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0" fontId="10" fillId="0" borderId="13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34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6" fillId="0" borderId="51" applyAlignment="1" pivotButton="0" quotePrefix="0" xfId="0">
      <alignment horizontal="center" vertical="center"/>
    </xf>
    <xf numFmtId="0" fontId="0" fillId="0" borderId="0" pivotButton="0" quotePrefix="0" xfId="0"/>
    <xf numFmtId="0" fontId="9" fillId="0" borderId="4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67" pivotButton="0" quotePrefix="0" xfId="0"/>
    <xf numFmtId="0" fontId="0" fillId="0" borderId="68" pivotButton="0" quotePrefix="0" xfId="0"/>
    <xf numFmtId="0" fontId="0" fillId="0" borderId="30" pivotButton="0" quotePrefix="0" xfId="0"/>
    <xf numFmtId="0" fontId="0" fillId="0" borderId="73" pivotButton="0" quotePrefix="0" xfId="0"/>
    <xf numFmtId="0" fontId="6" fillId="0" borderId="69" applyAlignment="1" pivotButton="0" quotePrefix="0" xfId="0">
      <alignment horizontal="left" vertical="center"/>
    </xf>
    <xf numFmtId="0" fontId="0" fillId="0" borderId="31" pivotButton="0" quotePrefix="0" xfId="0"/>
    <xf numFmtId="0" fontId="0" fillId="0" borderId="72" pivotButton="0" quotePrefix="0" xfId="0"/>
    <xf numFmtId="165" fontId="8" fillId="0" borderId="54" applyAlignment="1" pivotButton="0" quotePrefix="0" xfId="0">
      <alignment horizontal="center" vertical="center"/>
    </xf>
    <xf numFmtId="166" fontId="6" fillId="0" borderId="54" applyAlignment="1" pivotButton="0" quotePrefix="0" xfId="0">
      <alignment horizontal="center" vertical="center"/>
    </xf>
    <xf numFmtId="0" fontId="6" fillId="0" borderId="63" applyAlignment="1" pivotButton="0" quotePrefix="0" xfId="0">
      <alignment horizontal="center" vertical="center"/>
    </xf>
    <xf numFmtId="0" fontId="0" fillId="0" borderId="9" pivotButton="0" quotePrefix="0" xfId="0"/>
    <xf numFmtId="3" fontId="6" fillId="0" borderId="23" applyAlignment="1" pivotButton="0" quotePrefix="0" xfId="0">
      <alignment horizontal="center" vertical="center"/>
    </xf>
    <xf numFmtId="0" fontId="0" fillId="0" borderId="75" pivotButton="0" quotePrefix="0" xfId="0"/>
    <xf numFmtId="0" fontId="0" fillId="0" borderId="76" pivotButton="0" quotePrefix="0" xfId="0"/>
    <xf numFmtId="3" fontId="6" fillId="0" borderId="24" applyAlignment="1" pivotButton="0" quotePrefix="0" xfId="0">
      <alignment horizontal="center" vertical="center"/>
    </xf>
    <xf numFmtId="3" fontId="6" fillId="0" borderId="77" applyAlignment="1" pivotButton="0" quotePrefix="0" xfId="0">
      <alignment horizontal="center" vertical="center"/>
    </xf>
    <xf numFmtId="0" fontId="0" fillId="0" borderId="61" pivotButton="0" quotePrefix="0" xfId="0"/>
    <xf numFmtId="0" fontId="0" fillId="0" borderId="62" pivotButton="0" quotePrefix="0" xfId="0"/>
    <xf numFmtId="0" fontId="0" fillId="0" borderId="26" pivotButton="0" quotePrefix="0" xfId="0"/>
    <xf numFmtId="0" fontId="0" fillId="0" borderId="27" pivotButton="0" quotePrefix="0" xfId="0"/>
    <xf numFmtId="3" fontId="6" fillId="0" borderId="20" applyAlignment="1" pivotButton="0" quotePrefix="0" xfId="0">
      <alignment horizontal="center" vertical="center"/>
    </xf>
    <xf numFmtId="164" fontId="6" fillId="0" borderId="20" applyAlignment="1" pivotButton="0" quotePrefix="0" xfId="0">
      <alignment horizontal="center" vertical="center"/>
    </xf>
    <xf numFmtId="164" fontId="6" fillId="0" borderId="77" applyAlignment="1" pivotButton="0" quotePrefix="0" xfId="0">
      <alignment horizontal="center" vertical="center"/>
    </xf>
    <xf numFmtId="164" fontId="6" fillId="0" borderId="24" applyAlignment="1" pivotButton="0" quotePrefix="0" xfId="0">
      <alignment horizontal="center" vertical="center"/>
    </xf>
    <xf numFmtId="0" fontId="0" fillId="0" borderId="79" pivotButton="0" quotePrefix="0" xfId="0"/>
    <xf numFmtId="0" fontId="0" fillId="0" borderId="78" pivotButton="0" quotePrefix="0" xfId="0"/>
    <xf numFmtId="164" fontId="6" fillId="0" borderId="82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59" pivotButton="0" quotePrefix="0" xfId="0"/>
    <xf numFmtId="164" fontId="6" fillId="0" borderId="5" applyAlignment="1" pivotButton="0" quotePrefix="0" xfId="0">
      <alignment horizontal="center" vertical="center"/>
    </xf>
    <xf numFmtId="0" fontId="6" fillId="0" borderId="80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81" applyAlignment="1" pivotButton="0" quotePrefix="0" xfId="0">
      <alignment horizontal="left" vertical="center"/>
    </xf>
  </cellXfs>
  <cellStyles count="45">
    <cellStyle name="표준" xfId="0" builtinId="0"/>
    <cellStyle name="20% - 강조색1" xfId="1" builtinId="30"/>
    <cellStyle name="20% - 강조색2" xfId="2" builtinId="34"/>
    <cellStyle name="20% - 강조색3" xfId="3" builtinId="38"/>
    <cellStyle name="20% - 강조색4" xfId="4" builtinId="42"/>
    <cellStyle name="20% - 강조색5" xfId="5" builtinId="46"/>
    <cellStyle name="20% - 강조색6" xfId="6" builtinId="50"/>
    <cellStyle name="40% - 강조색1" xfId="7" builtinId="31"/>
    <cellStyle name="40% - 강조색2" xfId="8" builtinId="35"/>
    <cellStyle name="40% - 강조색3" xfId="9" builtinId="39"/>
    <cellStyle name="40% - 강조색4" xfId="10" builtinId="43"/>
    <cellStyle name="40% - 강조색5" xfId="11" builtinId="47"/>
    <cellStyle name="40% - 강조색6" xfId="12" builtinId="51"/>
    <cellStyle name="60% - 강조색1" xfId="13" builtinId="32"/>
    <cellStyle name="60% - 강조색2" xfId="14" builtinId="36"/>
    <cellStyle name="60% - 강조색3" xfId="15" builtinId="40"/>
    <cellStyle name="60% - 강조색4" xfId="16" builtinId="44"/>
    <cellStyle name="60% - 강조색5" xfId="17" builtinId="48"/>
    <cellStyle name="60% - 강조색6" xfId="18" builtinId="52"/>
    <cellStyle name="강조색1" xfId="19" builtinId="29"/>
    <cellStyle name="강조색2" xfId="20" builtinId="33"/>
    <cellStyle name="강조색3" xfId="21" builtinId="37"/>
    <cellStyle name="강조색4" xfId="22" builtinId="41"/>
    <cellStyle name="강조색5" xfId="23" builtinId="45"/>
    <cellStyle name="강조색6" xfId="24" builtinId="49"/>
    <cellStyle name="경고문" xfId="25" builtinId="11"/>
    <cellStyle name="계산" xfId="26" builtinId="22"/>
    <cellStyle name="나쁨" xfId="27" builtinId="27"/>
    <cellStyle name="메모" xfId="28" builtinId="10"/>
    <cellStyle name="보통" xfId="29" builtinId="28"/>
    <cellStyle name="설명 텍스트" xfId="30" builtinId="53"/>
    <cellStyle name="셀 확인" xfId="31" builtinId="23"/>
    <cellStyle name="쉼표 [0] 2" xfId="32"/>
    <cellStyle name="연결된 셀" xfId="33" builtinId="24"/>
    <cellStyle name="요약" xfId="34" builtinId="25"/>
    <cellStyle name="입력" xfId="35" builtinId="20"/>
    <cellStyle name="제목" xfId="36" builtinId="15"/>
    <cellStyle name="제목 1" xfId="37" builtinId="16"/>
    <cellStyle name="제목 2" xfId="38" builtinId="17"/>
    <cellStyle name="제목 3" xfId="39" builtinId="18"/>
    <cellStyle name="제목 4" xfId="40" builtinId="19"/>
    <cellStyle name="좋음" xfId="41" builtinId="26"/>
    <cellStyle name="출력" xfId="42" builtinId="21"/>
    <cellStyle name="통화 [0] 2" xfId="43"/>
    <cellStyle name="표준 2" xfId="4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F40"/>
  <sheetViews>
    <sheetView tabSelected="1" topLeftCell="A4" zoomScale="115" zoomScaleNormal="115" zoomScaleSheetLayoutView="75" workbookViewId="0">
      <selection activeCell="E11" sqref="C11:K11"/>
    </sheetView>
  </sheetViews>
  <sheetFormatPr baseColWidth="8" defaultColWidth="8.77734375" defaultRowHeight="13.5"/>
  <cols>
    <col width="3" customWidth="1" style="15" min="1" max="10"/>
    <col width="0.109375" customWidth="1" style="15" min="11" max="11"/>
    <col width="3" customWidth="1" style="15" min="12" max="14"/>
    <col hidden="1" width="3" customWidth="1" style="15" min="15" max="15"/>
    <col width="3" customWidth="1" style="15" min="16" max="22"/>
    <col width="0.33203125" customWidth="1" style="15" min="23" max="23"/>
    <col width="3" customWidth="1" style="15" min="24" max="25"/>
    <col hidden="1" width="3" customWidth="1" style="15" min="26" max="26"/>
    <col width="3" customWidth="1" style="15" min="27" max="27"/>
    <col hidden="1" width="3.21875" customWidth="1" style="15" min="28" max="28"/>
    <col width="3" customWidth="1" style="15" min="29" max="31"/>
    <col width="6.33203125" customWidth="1" style="15" min="32" max="32"/>
    <col width="3" customWidth="1" style="15" min="33" max="256"/>
    <col width="8.77734375" customWidth="1" style="15" min="257" max="16384"/>
  </cols>
  <sheetData>
    <row r="1" ht="20.1" customHeight="1" s="87">
      <c r="A1" s="88" t="inlineStr">
        <is>
          <t>견       적       서</t>
        </is>
      </c>
      <c r="B1" s="89" t="n"/>
      <c r="C1" s="89" t="n"/>
      <c r="D1" s="89" t="n"/>
      <c r="E1" s="89" t="n"/>
      <c r="F1" s="89" t="n"/>
      <c r="G1" s="89" t="n"/>
      <c r="H1" s="89" t="n"/>
      <c r="I1" s="89" t="n"/>
      <c r="J1" s="89" t="n"/>
      <c r="K1" s="89" t="n"/>
      <c r="L1" s="89" t="n"/>
      <c r="M1" s="89" t="n"/>
      <c r="N1" s="89" t="n"/>
      <c r="O1" s="89" t="n"/>
      <c r="P1" s="89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89" t="n"/>
      <c r="AB1" s="89" t="n"/>
      <c r="AC1" s="89" t="n"/>
      <c r="AD1" s="89" t="n"/>
      <c r="AE1" s="89" t="n"/>
      <c r="AF1" s="90" t="n"/>
    </row>
    <row r="2" ht="20.1" customHeight="1" s="87">
      <c r="A2" s="91" t="n"/>
      <c r="AF2" s="92" t="n"/>
    </row>
    <row r="3" ht="20.1" customHeight="1" s="87">
      <c r="A3" s="93" t="n"/>
      <c r="B3" s="94" t="n"/>
      <c r="C3" s="94" t="n"/>
      <c r="D3" s="94" t="n"/>
      <c r="E3" s="94" t="n"/>
      <c r="F3" s="94" t="n"/>
      <c r="G3" s="94" t="n"/>
      <c r="H3" s="94" t="n"/>
      <c r="I3" s="94" t="n"/>
      <c r="J3" s="94" t="n"/>
      <c r="K3" s="94" t="n"/>
      <c r="L3" s="94" t="n"/>
      <c r="M3" s="94" t="n"/>
      <c r="N3" s="94" t="n"/>
      <c r="O3" s="94" t="n"/>
      <c r="P3" s="94" t="n"/>
      <c r="Q3" s="94" t="n"/>
      <c r="R3" s="94" t="n"/>
      <c r="S3" s="94" t="n"/>
      <c r="T3" s="94" t="n"/>
      <c r="U3" s="94" t="n"/>
      <c r="V3" s="94" t="n"/>
      <c r="W3" s="94" t="n"/>
      <c r="X3" s="94" t="n"/>
      <c r="Y3" s="94" t="n"/>
      <c r="Z3" s="94" t="n"/>
      <c r="AA3" s="94" t="n"/>
      <c r="AB3" s="94" t="n"/>
      <c r="AC3" s="94" t="n"/>
      <c r="AD3" s="94" t="n"/>
      <c r="AE3" s="94" t="n"/>
      <c r="AF3" s="95" t="n"/>
    </row>
    <row r="4" ht="20.1" customHeight="1" s="87">
      <c r="A4" s="1" t="n"/>
      <c r="B4" s="2" t="n"/>
      <c r="C4" s="2" t="n"/>
      <c r="D4" s="2" t="n"/>
      <c r="E4" s="3" t="n"/>
      <c r="F4" s="4" t="n"/>
      <c r="G4" s="3" t="n"/>
      <c r="H4" s="4" t="n"/>
      <c r="I4" s="3" t="n"/>
      <c r="J4" s="3" t="n"/>
      <c r="K4" s="3" t="n"/>
      <c r="L4" s="3" t="n"/>
      <c r="M4" s="3" t="n"/>
      <c r="N4" s="5" t="n"/>
      <c r="O4" s="19" t="inlineStr">
        <is>
          <t>견적번호</t>
        </is>
      </c>
      <c r="P4" s="96" t="n"/>
      <c r="Q4" s="96" t="n"/>
      <c r="R4" s="97" t="n"/>
      <c r="S4" s="69" t="inlineStr">
        <is>
          <t xml:space="preserve"> 2025-09122</t>
        </is>
      </c>
      <c r="T4" s="96" t="n"/>
      <c r="U4" s="96" t="n"/>
      <c r="V4" s="96" t="n"/>
      <c r="W4" s="97" t="n"/>
      <c r="X4" s="19" t="inlineStr">
        <is>
          <t>견적일자</t>
        </is>
      </c>
      <c r="Y4" s="96" t="n"/>
      <c r="Z4" s="96" t="n"/>
      <c r="AA4" s="97" t="n"/>
      <c r="AB4" s="69">
        <f>LEFT(S4,10)</f>
        <v/>
      </c>
      <c r="AC4" s="96" t="n"/>
      <c r="AD4" s="96" t="n"/>
      <c r="AE4" s="96" t="n"/>
      <c r="AF4" s="97" t="n"/>
    </row>
    <row r="5" ht="20.1" customHeight="1" s="87">
      <c r="A5" s="6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8" t="n"/>
      <c r="O5" s="19" t="inlineStr">
        <is>
          <t>상      호</t>
        </is>
      </c>
      <c r="P5" s="96" t="n"/>
      <c r="Q5" s="96" t="n"/>
      <c r="R5" s="97" t="n"/>
      <c r="S5" s="69" t="inlineStr">
        <is>
          <t xml:space="preserve"> 하비 브라운</t>
        </is>
      </c>
      <c r="T5" s="96" t="n"/>
      <c r="U5" s="96" t="n"/>
      <c r="V5" s="96" t="n"/>
      <c r="W5" s="96" t="n"/>
      <c r="X5" s="96" t="n"/>
      <c r="Y5" s="96" t="n"/>
      <c r="Z5" s="96" t="n"/>
      <c r="AA5" s="96" t="n"/>
      <c r="AB5" s="96" t="n"/>
      <c r="AC5" s="96" t="n"/>
      <c r="AD5" s="96" t="n"/>
      <c r="AE5" s="96" t="n"/>
      <c r="AF5" s="97" t="n"/>
    </row>
    <row r="6" ht="20.1" customHeight="1" s="87">
      <c r="A6" s="6" t="n"/>
      <c r="B6" s="9" t="n"/>
      <c r="C6" s="86" t="inlineStr">
        <is>
          <t>test</t>
        </is>
      </c>
      <c r="D6" s="98" t="n"/>
      <c r="E6" s="98" t="n"/>
      <c r="F6" s="98" t="n"/>
      <c r="G6" s="98" t="n"/>
      <c r="H6" s="98" t="n"/>
      <c r="I6" s="98" t="n"/>
      <c r="J6" s="99" t="n"/>
      <c r="K6" s="86" t="inlineStr">
        <is>
          <t>귀하</t>
        </is>
      </c>
      <c r="L6" s="99" t="n"/>
      <c r="M6" s="7" t="n"/>
      <c r="N6" s="8" t="n"/>
      <c r="O6" s="19" t="inlineStr">
        <is>
          <t>등록번호</t>
        </is>
      </c>
      <c r="P6" s="96" t="n"/>
      <c r="Q6" s="96" t="n"/>
      <c r="R6" s="97" t="n"/>
      <c r="S6" s="69" t="inlineStr">
        <is>
          <t xml:space="preserve"> 849-63-00642</t>
        </is>
      </c>
      <c r="T6" s="96" t="n"/>
      <c r="U6" s="96" t="n"/>
      <c r="V6" s="96" t="n"/>
      <c r="W6" s="97" t="n"/>
      <c r="X6" s="19" t="inlineStr">
        <is>
          <t>대 표 자</t>
        </is>
      </c>
      <c r="Y6" s="96" t="n"/>
      <c r="Z6" s="96" t="n"/>
      <c r="AA6" s="97" t="n"/>
      <c r="AB6" s="69" t="inlineStr">
        <is>
          <t xml:space="preserve"> 이수진  (인)</t>
        </is>
      </c>
      <c r="AC6" s="96" t="n"/>
      <c r="AD6" s="96" t="n"/>
      <c r="AE6" s="96" t="n"/>
      <c r="AF6" s="97" t="n"/>
    </row>
    <row r="7" ht="20.1" customHeight="1" s="87">
      <c r="A7" s="6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8" t="n"/>
      <c r="O7" s="19" t="inlineStr">
        <is>
          <t>업      태</t>
        </is>
      </c>
      <c r="P7" s="96" t="n"/>
      <c r="Q7" s="96" t="n"/>
      <c r="R7" s="97" t="n"/>
      <c r="S7" s="69" t="inlineStr">
        <is>
          <t xml:space="preserve"> 도소매</t>
        </is>
      </c>
      <c r="T7" s="96" t="n"/>
      <c r="U7" s="96" t="n"/>
      <c r="V7" s="96" t="n"/>
      <c r="W7" s="97" t="n"/>
      <c r="X7" s="19" t="inlineStr">
        <is>
          <t>종      목</t>
        </is>
      </c>
      <c r="Y7" s="96" t="n"/>
      <c r="Z7" s="96" t="n"/>
      <c r="AA7" s="97" t="n"/>
      <c r="AB7" s="69" t="inlineStr">
        <is>
          <t xml:space="preserve"> 전자상거래</t>
        </is>
      </c>
      <c r="AC7" s="96" t="n"/>
      <c r="AD7" s="96" t="n"/>
      <c r="AE7" s="96" t="n"/>
      <c r="AF7" s="97" t="n"/>
    </row>
    <row r="8" ht="20.1" customHeight="1" s="87">
      <c r="A8" s="10" t="n"/>
      <c r="B8" s="11" t="n"/>
      <c r="C8" s="76" t="n"/>
      <c r="D8" s="100" t="n"/>
      <c r="E8" s="101" t="n"/>
      <c r="F8" s="76" t="n"/>
      <c r="G8" s="102" t="n"/>
      <c r="H8" s="100" t="n"/>
      <c r="I8" s="100" t="n"/>
      <c r="J8" s="100" t="n"/>
      <c r="K8" s="100" t="n"/>
      <c r="L8" s="100" t="n"/>
      <c r="M8" s="100" t="n"/>
      <c r="N8" s="103" t="n"/>
      <c r="O8" s="70" t="inlineStr">
        <is>
          <t>전화번호</t>
        </is>
      </c>
      <c r="P8" s="89" t="n"/>
      <c r="Q8" s="89" t="n"/>
      <c r="R8" s="90" t="n"/>
      <c r="S8" s="71" t="inlineStr">
        <is>
          <t xml:space="preserve"> 010-4874-8419</t>
        </is>
      </c>
      <c r="T8" s="89" t="n"/>
      <c r="U8" s="89" t="n"/>
      <c r="V8" s="89" t="n"/>
      <c r="W8" s="90" t="n"/>
      <c r="X8" s="70" t="inlineStr">
        <is>
          <t>팩스번호</t>
        </is>
      </c>
      <c r="Y8" s="89" t="n"/>
      <c r="Z8" s="89" t="n"/>
      <c r="AA8" s="90" t="n"/>
      <c r="AB8" s="71" t="n"/>
      <c r="AC8" s="89" t="n"/>
      <c r="AD8" s="89" t="n"/>
      <c r="AE8" s="89" t="n"/>
      <c r="AF8" s="90" t="n"/>
    </row>
    <row r="9" ht="20.1" customHeight="1" s="87">
      <c r="A9" s="69" t="inlineStr">
        <is>
          <t xml:space="preserve"> 아래와 같이 견적합니다. 본 견적은 견적 후 30일 이내로 유효합니다.</t>
        </is>
      </c>
      <c r="B9" s="96" t="n"/>
      <c r="C9" s="96" t="n"/>
      <c r="D9" s="96" t="n"/>
      <c r="E9" s="96" t="n"/>
      <c r="F9" s="96" t="n"/>
      <c r="G9" s="96" t="n"/>
      <c r="H9" s="96" t="n"/>
      <c r="I9" s="96" t="n"/>
      <c r="J9" s="96" t="n"/>
      <c r="K9" s="96" t="n"/>
      <c r="L9" s="96" t="n"/>
      <c r="M9" s="96" t="n"/>
      <c r="N9" s="96" t="n"/>
      <c r="O9" s="96" t="n"/>
      <c r="P9" s="96" t="n"/>
      <c r="Q9" s="96" t="n"/>
      <c r="R9" s="96" t="n"/>
      <c r="S9" s="96" t="n"/>
      <c r="T9" s="96" t="n"/>
      <c r="U9" s="96" t="n"/>
      <c r="V9" s="96" t="n"/>
      <c r="W9" s="96" t="n"/>
      <c r="X9" s="96" t="n"/>
      <c r="Y9" s="96" t="n"/>
      <c r="Z9" s="96" t="n"/>
      <c r="AA9" s="96" t="n"/>
      <c r="AB9" s="96" t="n"/>
      <c r="AC9" s="96" t="n"/>
      <c r="AD9" s="96" t="n"/>
      <c r="AE9" s="96" t="n"/>
      <c r="AF9" s="97" t="n"/>
    </row>
    <row r="10" ht="20.1" customHeight="1" s="87">
      <c r="A10" s="72" t="inlineStr">
        <is>
          <t>견적금액</t>
        </is>
      </c>
      <c r="B10" s="96" t="n"/>
      <c r="C10" s="96" t="n"/>
      <c r="D10" s="104" t="n"/>
      <c r="E10" s="105" t="inlineStr"/>
      <c r="F10" s="96" t="n"/>
      <c r="G10" s="96" t="n"/>
      <c r="H10" s="96" t="n"/>
      <c r="I10" s="96" t="n"/>
      <c r="J10" s="104" t="n"/>
      <c r="K10" s="73" t="inlineStr">
        <is>
          <t>( 일금 육십일만 사천백사십팔 원정 )</t>
        </is>
      </c>
      <c r="L10" s="106" t="inlineStr"/>
      <c r="M10" s="96" t="n"/>
      <c r="N10" s="96" t="n"/>
      <c r="O10" s="96" t="n"/>
      <c r="P10" s="96" t="n"/>
      <c r="Q10" s="96" t="n"/>
      <c r="R10" s="104" t="n"/>
      <c r="S10" s="73" t="inlineStr"/>
      <c r="T10" s="104" t="n"/>
      <c r="U10" s="13" t="inlineStr"/>
      <c r="V10" s="13" t="inlineStr"/>
      <c r="W10" s="14" t="inlineStr"/>
      <c r="X10" s="22" t="inlineStr"/>
      <c r="Y10" s="96" t="n"/>
      <c r="Z10" s="96" t="n"/>
      <c r="AA10" s="96" t="n"/>
      <c r="AB10" s="96" t="n"/>
      <c r="AC10" s="19" t="inlineStr"/>
      <c r="AD10" s="96" t="n"/>
      <c r="AE10" s="96" t="n"/>
      <c r="AF10" s="97" t="n"/>
    </row>
    <row r="11" ht="20.1" customHeight="1" s="87">
      <c r="A11" s="107" t="inlineStr">
        <is>
          <t>순번</t>
        </is>
      </c>
      <c r="B11" s="108" t="n"/>
      <c r="C11" s="20" t="inlineStr">
        <is>
          <t>품목명</t>
        </is>
      </c>
      <c r="D11" s="96" t="n"/>
      <c r="E11" s="96" t="n"/>
      <c r="F11" s="96" t="n"/>
      <c r="G11" s="96" t="n"/>
      <c r="H11" s="96" t="n"/>
      <c r="I11" s="96" t="n"/>
      <c r="J11" s="96" t="n"/>
      <c r="K11" s="108" t="n"/>
      <c r="L11" s="20" t="inlineStr">
        <is>
          <t>규격</t>
        </is>
      </c>
      <c r="M11" s="96" t="n"/>
      <c r="N11" s="96" t="n"/>
      <c r="O11" s="108" t="n"/>
      <c r="P11" s="20" t="inlineStr">
        <is>
          <t>단위</t>
        </is>
      </c>
      <c r="Q11" s="108" t="n"/>
      <c r="R11" s="20" t="inlineStr">
        <is>
          <t>수량</t>
        </is>
      </c>
      <c r="S11" s="108" t="n"/>
      <c r="T11" s="20" t="inlineStr">
        <is>
          <t>공급가</t>
        </is>
      </c>
      <c r="U11" s="96" t="n"/>
      <c r="V11" s="96" t="n"/>
      <c r="W11" s="108" t="n"/>
      <c r="X11" s="20" t="inlineStr">
        <is>
          <t>부가세</t>
        </is>
      </c>
      <c r="Y11" s="96" t="n"/>
      <c r="Z11" s="96" t="n"/>
      <c r="AA11" s="96" t="n"/>
      <c r="AB11" s="108" t="n"/>
      <c r="AC11" s="20" t="inlineStr">
        <is>
          <t>합계</t>
        </is>
      </c>
      <c r="AD11" s="96" t="n"/>
      <c r="AE11" s="96" t="n"/>
      <c r="AF11" s="108" t="n"/>
    </row>
    <row r="12" ht="20.1" customHeight="1" s="87">
      <c r="A12" s="109" t="n">
        <v>1</v>
      </c>
      <c r="B12" s="110" t="n"/>
      <c r="C12" s="60" t="inlineStr">
        <is>
          <t>m1</t>
        </is>
      </c>
      <c r="D12" s="111" t="n"/>
      <c r="E12" s="111" t="n"/>
      <c r="F12" s="111" t="n"/>
      <c r="G12" s="111" t="n"/>
      <c r="H12" s="111" t="n"/>
      <c r="I12" s="111" t="n"/>
      <c r="J12" s="111" t="n"/>
      <c r="K12" s="110" t="n"/>
      <c r="L12" s="59" t="inlineStr">
        <is>
          <t>3</t>
        </is>
      </c>
      <c r="M12" s="111" t="n"/>
      <c r="N12" s="111" t="n"/>
      <c r="O12" s="110" t="n"/>
      <c r="P12" s="59" t="inlineStr">
        <is>
          <t>EA</t>
        </is>
      </c>
      <c r="Q12" s="110" t="n"/>
      <c r="R12" s="112" t="n">
        <v>14</v>
      </c>
      <c r="S12" s="110" t="n"/>
      <c r="T12" s="112" t="n">
        <v>313575</v>
      </c>
      <c r="U12" s="111" t="n"/>
      <c r="V12" s="111" t="n"/>
      <c r="W12" s="110" t="n"/>
      <c r="X12" s="113" t="n">
        <v>31357</v>
      </c>
      <c r="Y12" s="114" t="n"/>
      <c r="Z12" s="114" t="n"/>
      <c r="AA12" s="114" t="n"/>
      <c r="AB12" s="115" t="n"/>
      <c r="AC12" s="112" t="n">
        <v>344932</v>
      </c>
      <c r="AD12" s="111" t="n"/>
      <c r="AE12" s="111" t="n"/>
      <c r="AF12" s="110" t="n"/>
    </row>
    <row r="13" ht="20.1" customHeight="1" s="87">
      <c r="A13" s="109" t="n">
        <v>2</v>
      </c>
      <c r="B13" s="110" t="n"/>
      <c r="C13" s="60" t="inlineStr">
        <is>
          <t>w2</t>
        </is>
      </c>
      <c r="D13" s="111" t="n"/>
      <c r="E13" s="111" t="n"/>
      <c r="F13" s="111" t="n"/>
      <c r="G13" s="111" t="n"/>
      <c r="H13" s="111" t="n"/>
      <c r="I13" s="111" t="n"/>
      <c r="J13" s="111" t="n"/>
      <c r="K13" s="110" t="n"/>
      <c r="L13" s="54" t="inlineStr">
        <is>
          <t>1</t>
        </is>
      </c>
      <c r="M13" s="116" t="n"/>
      <c r="N13" s="116" t="n"/>
      <c r="O13" s="117" t="n"/>
      <c r="P13" s="54" t="inlineStr">
        <is>
          <t>EA</t>
        </is>
      </c>
      <c r="Q13" s="117" t="n"/>
      <c r="R13" s="118" t="n">
        <v>16</v>
      </c>
      <c r="S13" s="117" t="n"/>
      <c r="T13" s="118" t="n">
        <v>244742</v>
      </c>
      <c r="U13" s="116" t="n"/>
      <c r="V13" s="116" t="n"/>
      <c r="W13" s="117" t="n"/>
      <c r="X13" s="113" t="n">
        <v>24474</v>
      </c>
      <c r="Y13" s="114" t="n"/>
      <c r="Z13" s="114" t="n"/>
      <c r="AA13" s="114" t="n"/>
      <c r="AB13" s="115" t="n"/>
      <c r="AC13" s="112" t="n">
        <v>269216</v>
      </c>
      <c r="AD13" s="111" t="n"/>
      <c r="AE13" s="111" t="n"/>
      <c r="AF13" s="110" t="n"/>
    </row>
    <row r="14" ht="20.1" customHeight="1" s="87">
      <c r="A14" s="58" t="n"/>
      <c r="B14" s="110" t="n"/>
      <c r="C14" s="60" t="n"/>
      <c r="D14" s="111" t="n"/>
      <c r="E14" s="111" t="n"/>
      <c r="F14" s="111" t="n"/>
      <c r="G14" s="111" t="n"/>
      <c r="H14" s="111" t="n"/>
      <c r="I14" s="111" t="n"/>
      <c r="J14" s="111" t="n"/>
      <c r="K14" s="110" t="n"/>
      <c r="L14" s="54" t="n"/>
      <c r="M14" s="116" t="n"/>
      <c r="N14" s="116" t="n"/>
      <c r="O14" s="117" t="n"/>
      <c r="P14" s="54" t="n"/>
      <c r="Q14" s="117" t="n"/>
      <c r="R14" s="54" t="n"/>
      <c r="S14" s="117" t="n"/>
      <c r="T14" s="119" t="n"/>
      <c r="U14" s="116" t="n"/>
      <c r="V14" s="116" t="n"/>
      <c r="W14" s="117" t="n"/>
      <c r="X14" s="120" t="n"/>
      <c r="Y14" s="114" t="n"/>
      <c r="Z14" s="114" t="n"/>
      <c r="AA14" s="114" t="n"/>
      <c r="AB14" s="115" t="n"/>
      <c r="AC14" s="121" t="n"/>
      <c r="AD14" s="111" t="n"/>
      <c r="AE14" s="111" t="n"/>
      <c r="AF14" s="110" t="n"/>
    </row>
    <row r="15" ht="20.1" customHeight="1" s="87">
      <c r="A15" s="58" t="n"/>
      <c r="B15" s="110" t="n"/>
      <c r="C15" s="60" t="n"/>
      <c r="D15" s="111" t="n"/>
      <c r="E15" s="111" t="n"/>
      <c r="F15" s="111" t="n"/>
      <c r="G15" s="111" t="n"/>
      <c r="H15" s="111" t="n"/>
      <c r="I15" s="111" t="n"/>
      <c r="J15" s="111" t="n"/>
      <c r="K15" s="110" t="n"/>
      <c r="L15" s="54" t="n"/>
      <c r="M15" s="116" t="n"/>
      <c r="N15" s="116" t="n"/>
      <c r="O15" s="117" t="n"/>
      <c r="P15" s="54" t="n"/>
      <c r="Q15" s="117" t="n"/>
      <c r="R15" s="54" t="n"/>
      <c r="S15" s="117" t="n"/>
      <c r="T15" s="119" t="n"/>
      <c r="U15" s="116" t="n"/>
      <c r="V15" s="116" t="n"/>
      <c r="W15" s="117" t="n"/>
      <c r="X15" s="120" t="n"/>
      <c r="Y15" s="114" t="n"/>
      <c r="Z15" s="114" t="n"/>
      <c r="AA15" s="114" t="n"/>
      <c r="AB15" s="115" t="n"/>
      <c r="AC15" s="121" t="n"/>
      <c r="AD15" s="111" t="n"/>
      <c r="AE15" s="111" t="n"/>
      <c r="AF15" s="110" t="n"/>
    </row>
    <row r="16" ht="20.1" customHeight="1" s="87">
      <c r="A16" s="58" t="n"/>
      <c r="B16" s="110" t="n"/>
      <c r="C16" s="60" t="n"/>
      <c r="D16" s="111" t="n"/>
      <c r="E16" s="111" t="n"/>
      <c r="F16" s="111" t="n"/>
      <c r="G16" s="111" t="n"/>
      <c r="H16" s="111" t="n"/>
      <c r="I16" s="111" t="n"/>
      <c r="J16" s="111" t="n"/>
      <c r="K16" s="110" t="n"/>
      <c r="L16" s="54" t="n"/>
      <c r="M16" s="116" t="n"/>
      <c r="N16" s="116" t="n"/>
      <c r="O16" s="117" t="n"/>
      <c r="P16" s="54" t="n"/>
      <c r="Q16" s="117" t="n"/>
      <c r="R16" s="54" t="n"/>
      <c r="S16" s="117" t="n"/>
      <c r="T16" s="119" t="n"/>
      <c r="U16" s="116" t="n"/>
      <c r="V16" s="116" t="n"/>
      <c r="W16" s="117" t="n"/>
      <c r="X16" s="119" t="n"/>
      <c r="Y16" s="116" t="n"/>
      <c r="Z16" s="116" t="n"/>
      <c r="AA16" s="116" t="n"/>
      <c r="AB16" s="117" t="n"/>
      <c r="AC16" s="54" t="n"/>
      <c r="AD16" s="116" t="n"/>
      <c r="AE16" s="116" t="n"/>
      <c r="AF16" s="117" t="n"/>
    </row>
    <row r="17" ht="20.1" customHeight="1" s="87">
      <c r="A17" s="58" t="n"/>
      <c r="B17" s="110" t="n"/>
      <c r="C17" s="60" t="n"/>
      <c r="D17" s="111" t="n"/>
      <c r="E17" s="111" t="n"/>
      <c r="F17" s="111" t="n"/>
      <c r="G17" s="111" t="n"/>
      <c r="H17" s="111" t="n"/>
      <c r="I17" s="111" t="n"/>
      <c r="J17" s="111" t="n"/>
      <c r="K17" s="110" t="n"/>
      <c r="L17" s="54" t="n"/>
      <c r="M17" s="116" t="n"/>
      <c r="N17" s="116" t="n"/>
      <c r="O17" s="117" t="n"/>
      <c r="P17" s="54" t="n"/>
      <c r="Q17" s="117" t="n"/>
      <c r="R17" s="54" t="n"/>
      <c r="S17" s="117" t="n"/>
      <c r="T17" s="119" t="n"/>
      <c r="U17" s="116" t="n"/>
      <c r="V17" s="116" t="n"/>
      <c r="W17" s="117" t="n"/>
      <c r="X17" s="119" t="n"/>
      <c r="Y17" s="116" t="n"/>
      <c r="Z17" s="116" t="n"/>
      <c r="AA17" s="116" t="n"/>
      <c r="AB17" s="117" t="n"/>
      <c r="AC17" s="54" t="n"/>
      <c r="AD17" s="116" t="n"/>
      <c r="AE17" s="116" t="n"/>
      <c r="AF17" s="117" t="n"/>
    </row>
    <row r="18" ht="20.1" customHeight="1" s="87">
      <c r="A18" s="58" t="n"/>
      <c r="B18" s="110" t="n"/>
      <c r="C18" s="60" t="n"/>
      <c r="D18" s="111" t="n"/>
      <c r="E18" s="111" t="n"/>
      <c r="F18" s="111" t="n"/>
      <c r="G18" s="111" t="n"/>
      <c r="H18" s="111" t="n"/>
      <c r="I18" s="111" t="n"/>
      <c r="J18" s="111" t="n"/>
      <c r="K18" s="110" t="n"/>
      <c r="L18" s="54" t="n"/>
      <c r="M18" s="116" t="n"/>
      <c r="N18" s="116" t="n"/>
      <c r="O18" s="117" t="n"/>
      <c r="P18" s="54" t="n"/>
      <c r="Q18" s="117" t="n"/>
      <c r="R18" s="54" t="n"/>
      <c r="S18" s="117" t="n"/>
      <c r="T18" s="119" t="n"/>
      <c r="U18" s="116" t="n"/>
      <c r="V18" s="116" t="n"/>
      <c r="W18" s="117" t="n"/>
      <c r="X18" s="119" t="n"/>
      <c r="Y18" s="116" t="n"/>
      <c r="Z18" s="116" t="n"/>
      <c r="AA18" s="116" t="n"/>
      <c r="AB18" s="117" t="n"/>
      <c r="AC18" s="54" t="n"/>
      <c r="AD18" s="116" t="n"/>
      <c r="AE18" s="116" t="n"/>
      <c r="AF18" s="117" t="n"/>
    </row>
    <row r="19" ht="20.1" customHeight="1" s="87">
      <c r="A19" s="58" t="n"/>
      <c r="B19" s="110" t="n"/>
      <c r="C19" s="60" t="n"/>
      <c r="D19" s="111" t="n"/>
      <c r="E19" s="111" t="n"/>
      <c r="F19" s="111" t="n"/>
      <c r="G19" s="111" t="n"/>
      <c r="H19" s="111" t="n"/>
      <c r="I19" s="111" t="n"/>
      <c r="J19" s="111" t="n"/>
      <c r="K19" s="110" t="n"/>
      <c r="L19" s="54" t="n"/>
      <c r="M19" s="116" t="n"/>
      <c r="N19" s="116" t="n"/>
      <c r="O19" s="117" t="n"/>
      <c r="P19" s="54" t="n"/>
      <c r="Q19" s="117" t="n"/>
      <c r="R19" s="54" t="n"/>
      <c r="S19" s="117" t="n"/>
      <c r="T19" s="119" t="n"/>
      <c r="U19" s="116" t="n"/>
      <c r="V19" s="116" t="n"/>
      <c r="W19" s="117" t="n"/>
      <c r="X19" s="119" t="n"/>
      <c r="Y19" s="116" t="n"/>
      <c r="Z19" s="116" t="n"/>
      <c r="AA19" s="116" t="n"/>
      <c r="AB19" s="117" t="n"/>
      <c r="AC19" s="54" t="n"/>
      <c r="AD19" s="116" t="n"/>
      <c r="AE19" s="116" t="n"/>
      <c r="AF19" s="117" t="n"/>
    </row>
    <row r="20" ht="20.1" customHeight="1" s="87">
      <c r="A20" s="58" t="n"/>
      <c r="B20" s="110" t="n"/>
      <c r="C20" s="60" t="n"/>
      <c r="D20" s="111" t="n"/>
      <c r="E20" s="111" t="n"/>
      <c r="F20" s="111" t="n"/>
      <c r="G20" s="111" t="n"/>
      <c r="H20" s="111" t="n"/>
      <c r="I20" s="111" t="n"/>
      <c r="J20" s="111" t="n"/>
      <c r="K20" s="110" t="n"/>
      <c r="L20" s="54" t="n"/>
      <c r="M20" s="116" t="n"/>
      <c r="N20" s="116" t="n"/>
      <c r="O20" s="117" t="n"/>
      <c r="P20" s="54" t="n"/>
      <c r="Q20" s="117" t="n"/>
      <c r="R20" s="54" t="n"/>
      <c r="S20" s="117" t="n"/>
      <c r="T20" s="119" t="n"/>
      <c r="U20" s="116" t="n"/>
      <c r="V20" s="116" t="n"/>
      <c r="W20" s="117" t="n"/>
      <c r="X20" s="119" t="n"/>
      <c r="Y20" s="116" t="n"/>
      <c r="Z20" s="116" t="n"/>
      <c r="AA20" s="116" t="n"/>
      <c r="AB20" s="117" t="n"/>
      <c r="AC20" s="54" t="n"/>
      <c r="AD20" s="116" t="n"/>
      <c r="AE20" s="116" t="n"/>
      <c r="AF20" s="117" t="n"/>
    </row>
    <row r="21" ht="20.1" customHeight="1" s="87">
      <c r="A21" s="58" t="n"/>
      <c r="B21" s="110" t="n"/>
      <c r="C21" s="60" t="n"/>
      <c r="D21" s="111" t="n"/>
      <c r="E21" s="111" t="n"/>
      <c r="F21" s="111" t="n"/>
      <c r="G21" s="111" t="n"/>
      <c r="H21" s="111" t="n"/>
      <c r="I21" s="111" t="n"/>
      <c r="J21" s="111" t="n"/>
      <c r="K21" s="110" t="n"/>
      <c r="L21" s="54" t="n"/>
      <c r="M21" s="116" t="n"/>
      <c r="N21" s="116" t="n"/>
      <c r="O21" s="117" t="n"/>
      <c r="P21" s="54" t="n"/>
      <c r="Q21" s="117" t="n"/>
      <c r="R21" s="54" t="n"/>
      <c r="S21" s="117" t="n"/>
      <c r="T21" s="119" t="n"/>
      <c r="U21" s="116" t="n"/>
      <c r="V21" s="116" t="n"/>
      <c r="W21" s="117" t="n"/>
      <c r="X21" s="119" t="n"/>
      <c r="Y21" s="116" t="n"/>
      <c r="Z21" s="116" t="n"/>
      <c r="AA21" s="116" t="n"/>
      <c r="AB21" s="117" t="n"/>
      <c r="AC21" s="54" t="n"/>
      <c r="AD21" s="116" t="n"/>
      <c r="AE21" s="116" t="n"/>
      <c r="AF21" s="117" t="n"/>
    </row>
    <row r="22" ht="20.1" customHeight="1" s="87">
      <c r="A22" s="58" t="n"/>
      <c r="B22" s="110" t="n"/>
      <c r="C22" s="60" t="n"/>
      <c r="D22" s="111" t="n"/>
      <c r="E22" s="111" t="n"/>
      <c r="F22" s="111" t="n"/>
      <c r="G22" s="111" t="n"/>
      <c r="H22" s="111" t="n"/>
      <c r="I22" s="111" t="n"/>
      <c r="J22" s="111" t="n"/>
      <c r="K22" s="110" t="n"/>
      <c r="L22" s="54" t="n"/>
      <c r="M22" s="116" t="n"/>
      <c r="N22" s="116" t="n"/>
      <c r="O22" s="117" t="n"/>
      <c r="P22" s="54" t="n"/>
      <c r="Q22" s="117" t="n"/>
      <c r="R22" s="54" t="n"/>
      <c r="S22" s="117" t="n"/>
      <c r="T22" s="119" t="n"/>
      <c r="U22" s="116" t="n"/>
      <c r="V22" s="116" t="n"/>
      <c r="W22" s="117" t="n"/>
      <c r="X22" s="119" t="n"/>
      <c r="Y22" s="116" t="n"/>
      <c r="Z22" s="116" t="n"/>
      <c r="AA22" s="116" t="n"/>
      <c r="AB22" s="117" t="n"/>
      <c r="AC22" s="54" t="n"/>
      <c r="AD22" s="116" t="n"/>
      <c r="AE22" s="116" t="n"/>
      <c r="AF22" s="117" t="n"/>
    </row>
    <row r="23" ht="20.1" customHeight="1" s="87">
      <c r="A23" s="58" t="n"/>
      <c r="B23" s="110" t="n"/>
      <c r="C23" s="60" t="n"/>
      <c r="D23" s="111" t="n"/>
      <c r="E23" s="111" t="n"/>
      <c r="F23" s="111" t="n"/>
      <c r="G23" s="111" t="n"/>
      <c r="H23" s="111" t="n"/>
      <c r="I23" s="111" t="n"/>
      <c r="J23" s="111" t="n"/>
      <c r="K23" s="110" t="n"/>
      <c r="L23" s="54" t="n"/>
      <c r="M23" s="116" t="n"/>
      <c r="N23" s="116" t="n"/>
      <c r="O23" s="117" t="n"/>
      <c r="P23" s="54" t="n"/>
      <c r="Q23" s="117" t="n"/>
      <c r="R23" s="54" t="n"/>
      <c r="S23" s="117" t="n"/>
      <c r="T23" s="119" t="n"/>
      <c r="U23" s="116" t="n"/>
      <c r="V23" s="116" t="n"/>
      <c r="W23" s="117" t="n"/>
      <c r="X23" s="119" t="n"/>
      <c r="Y23" s="116" t="n"/>
      <c r="Z23" s="116" t="n"/>
      <c r="AA23" s="116" t="n"/>
      <c r="AB23" s="117" t="n"/>
      <c r="AC23" s="54" t="n"/>
      <c r="AD23" s="116" t="n"/>
      <c r="AE23" s="116" t="n"/>
      <c r="AF23" s="117" t="n"/>
    </row>
    <row r="24" ht="20.1" customHeight="1" s="87">
      <c r="A24" s="56" t="n"/>
      <c r="B24" s="117" t="n"/>
      <c r="C24" s="57" t="n"/>
      <c r="D24" s="116" t="n"/>
      <c r="E24" s="116" t="n"/>
      <c r="F24" s="116" t="n"/>
      <c r="G24" s="116" t="n"/>
      <c r="H24" s="116" t="n"/>
      <c r="I24" s="116" t="n"/>
      <c r="J24" s="116" t="n"/>
      <c r="K24" s="117" t="n"/>
      <c r="L24" s="54" t="n"/>
      <c r="M24" s="116" t="n"/>
      <c r="N24" s="116" t="n"/>
      <c r="O24" s="117" t="n"/>
      <c r="P24" s="54" t="n"/>
      <c r="Q24" s="117" t="n"/>
      <c r="R24" s="54" t="n"/>
      <c r="S24" s="117" t="n"/>
      <c r="T24" s="119" t="n"/>
      <c r="U24" s="116" t="n"/>
      <c r="V24" s="116" t="n"/>
      <c r="W24" s="117" t="n"/>
      <c r="X24" s="119" t="n"/>
      <c r="Y24" s="116" t="n"/>
      <c r="Z24" s="116" t="n"/>
      <c r="AA24" s="116" t="n"/>
      <c r="AB24" s="117" t="n"/>
      <c r="AC24" s="54" t="n"/>
      <c r="AD24" s="116" t="n"/>
      <c r="AE24" s="116" t="n"/>
      <c r="AF24" s="117" t="n"/>
    </row>
    <row r="25" ht="20.1" customHeight="1" s="87">
      <c r="A25" s="56" t="n"/>
      <c r="B25" s="117" t="n"/>
      <c r="C25" s="57" t="n"/>
      <c r="D25" s="116" t="n"/>
      <c r="E25" s="116" t="n"/>
      <c r="F25" s="116" t="n"/>
      <c r="G25" s="116" t="n"/>
      <c r="H25" s="116" t="n"/>
      <c r="I25" s="116" t="n"/>
      <c r="J25" s="116" t="n"/>
      <c r="K25" s="117" t="n"/>
      <c r="L25" s="54" t="n"/>
      <c r="M25" s="116" t="n"/>
      <c r="N25" s="116" t="n"/>
      <c r="O25" s="117" t="n"/>
      <c r="P25" s="54" t="n"/>
      <c r="Q25" s="117" t="n"/>
      <c r="R25" s="54" t="n"/>
      <c r="S25" s="117" t="n"/>
      <c r="T25" s="119" t="n"/>
      <c r="U25" s="116" t="n"/>
      <c r="V25" s="116" t="n"/>
      <c r="W25" s="117" t="n"/>
      <c r="X25" s="119" t="n"/>
      <c r="Y25" s="116" t="n"/>
      <c r="Z25" s="116" t="n"/>
      <c r="AA25" s="116" t="n"/>
      <c r="AB25" s="117" t="n"/>
      <c r="AC25" s="54" t="n"/>
      <c r="AD25" s="116" t="n"/>
      <c r="AE25" s="116" t="n"/>
      <c r="AF25" s="117" t="n"/>
    </row>
    <row r="26" ht="20.1" customHeight="1" s="87">
      <c r="A26" s="56" t="n"/>
      <c r="B26" s="117" t="n"/>
      <c r="C26" s="57" t="n"/>
      <c r="D26" s="116" t="n"/>
      <c r="E26" s="116" t="n"/>
      <c r="F26" s="116" t="n"/>
      <c r="G26" s="116" t="n"/>
      <c r="H26" s="116" t="n"/>
      <c r="I26" s="116" t="n"/>
      <c r="J26" s="116" t="n"/>
      <c r="K26" s="117" t="n"/>
      <c r="L26" s="54" t="n"/>
      <c r="M26" s="116" t="n"/>
      <c r="N26" s="116" t="n"/>
      <c r="O26" s="117" t="n"/>
      <c r="P26" s="54" t="n"/>
      <c r="Q26" s="117" t="n"/>
      <c r="R26" s="54" t="n"/>
      <c r="S26" s="117" t="n"/>
      <c r="T26" s="119" t="n"/>
      <c r="U26" s="116" t="n"/>
      <c r="V26" s="116" t="n"/>
      <c r="W26" s="117" t="n"/>
      <c r="X26" s="119" t="n"/>
      <c r="Y26" s="116" t="n"/>
      <c r="Z26" s="116" t="n"/>
      <c r="AA26" s="116" t="n"/>
      <c r="AB26" s="117" t="n"/>
      <c r="AC26" s="54" t="n"/>
      <c r="AD26" s="116" t="n"/>
      <c r="AE26" s="116" t="n"/>
      <c r="AF26" s="117" t="n"/>
    </row>
    <row r="27" ht="20.1" customHeight="1" s="87">
      <c r="A27" s="56" t="n"/>
      <c r="B27" s="117" t="n"/>
      <c r="C27" s="57" t="n"/>
      <c r="D27" s="116" t="n"/>
      <c r="E27" s="116" t="n"/>
      <c r="F27" s="116" t="n"/>
      <c r="G27" s="116" t="n"/>
      <c r="H27" s="116" t="n"/>
      <c r="I27" s="116" t="n"/>
      <c r="J27" s="116" t="n"/>
      <c r="K27" s="117" t="n"/>
      <c r="L27" s="54" t="n"/>
      <c r="M27" s="116" t="n"/>
      <c r="N27" s="116" t="n"/>
      <c r="O27" s="117" t="n"/>
      <c r="P27" s="54" t="n"/>
      <c r="Q27" s="117" t="n"/>
      <c r="R27" s="54" t="n"/>
      <c r="S27" s="117" t="n"/>
      <c r="T27" s="119" t="n"/>
      <c r="U27" s="116" t="n"/>
      <c r="V27" s="116" t="n"/>
      <c r="W27" s="117" t="n"/>
      <c r="X27" s="119" t="n"/>
      <c r="Y27" s="116" t="n"/>
      <c r="Z27" s="116" t="n"/>
      <c r="AA27" s="116" t="n"/>
      <c r="AB27" s="117" t="n"/>
      <c r="AC27" s="54" t="n"/>
      <c r="AD27" s="116" t="n"/>
      <c r="AE27" s="116" t="n"/>
      <c r="AF27" s="117" t="n"/>
    </row>
    <row r="28" ht="20.1" customHeight="1" s="87">
      <c r="A28" s="56" t="n"/>
      <c r="B28" s="117" t="n"/>
      <c r="C28" s="57" t="n"/>
      <c r="D28" s="116" t="n"/>
      <c r="E28" s="116" t="n"/>
      <c r="F28" s="116" t="n"/>
      <c r="G28" s="116" t="n"/>
      <c r="H28" s="116" t="n"/>
      <c r="I28" s="116" t="n"/>
      <c r="J28" s="116" t="n"/>
      <c r="K28" s="117" t="n"/>
      <c r="L28" s="54" t="n"/>
      <c r="M28" s="116" t="n"/>
      <c r="N28" s="116" t="n"/>
      <c r="O28" s="117" t="n"/>
      <c r="P28" s="54" t="n"/>
      <c r="Q28" s="117" t="n"/>
      <c r="R28" s="54" t="n"/>
      <c r="S28" s="117" t="n"/>
      <c r="T28" s="119" t="n"/>
      <c r="U28" s="116" t="n"/>
      <c r="V28" s="116" t="n"/>
      <c r="W28" s="117" t="n"/>
      <c r="X28" s="119" t="n"/>
      <c r="Y28" s="116" t="n"/>
      <c r="Z28" s="116" t="n"/>
      <c r="AA28" s="116" t="n"/>
      <c r="AB28" s="117" t="n"/>
      <c r="AC28" s="54" t="n"/>
      <c r="AD28" s="116" t="n"/>
      <c r="AE28" s="116" t="n"/>
      <c r="AF28" s="117" t="n"/>
    </row>
    <row r="29" ht="20.1" customHeight="1" s="87">
      <c r="A29" s="49" t="n"/>
      <c r="B29" s="122" t="n"/>
      <c r="C29" s="50" t="n"/>
      <c r="D29" s="123" t="n"/>
      <c r="E29" s="123" t="n"/>
      <c r="F29" s="123" t="n"/>
      <c r="G29" s="123" t="n"/>
      <c r="H29" s="123" t="n"/>
      <c r="I29" s="123" t="n"/>
      <c r="J29" s="123" t="n"/>
      <c r="K29" s="122" t="n"/>
      <c r="L29" s="43" t="n"/>
      <c r="M29" s="123" t="n"/>
      <c r="N29" s="123" t="n"/>
      <c r="O29" s="122" t="n"/>
      <c r="P29" s="43" t="n"/>
      <c r="Q29" s="122" t="n"/>
      <c r="R29" s="43" t="n"/>
      <c r="S29" s="122" t="n"/>
      <c r="T29" s="124" t="n"/>
      <c r="U29" s="125" t="n"/>
      <c r="V29" s="125" t="n"/>
      <c r="W29" s="126" t="n"/>
      <c r="X29" s="124" t="n"/>
      <c r="Y29" s="125" t="n"/>
      <c r="Z29" s="125" t="n"/>
      <c r="AA29" s="125" t="n"/>
      <c r="AB29" s="126" t="n"/>
      <c r="AC29" s="43" t="n"/>
      <c r="AD29" s="123" t="n"/>
      <c r="AE29" s="123" t="n"/>
      <c r="AF29" s="122" t="n"/>
    </row>
    <row r="30" ht="20.1" customHeight="1" s="87">
      <c r="A30" s="107" t="inlineStr">
        <is>
          <t>총합계금액</t>
        </is>
      </c>
      <c r="B30" s="96" t="n"/>
      <c r="C30" s="96" t="n"/>
      <c r="D30" s="96" t="n"/>
      <c r="E30" s="96" t="n"/>
      <c r="F30" s="96" t="n"/>
      <c r="G30" s="96" t="n"/>
      <c r="H30" s="96" t="n"/>
      <c r="I30" s="96" t="n"/>
      <c r="J30" s="96" t="n"/>
      <c r="K30" s="96" t="n"/>
      <c r="L30" s="96" t="n"/>
      <c r="M30" s="96" t="n"/>
      <c r="N30" s="96" t="n"/>
      <c r="O30" s="96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96" t="n"/>
      <c r="Z30" s="96" t="n"/>
      <c r="AA30" s="96" t="n"/>
      <c r="AB30" s="108" t="n"/>
      <c r="AC30" s="127">
        <f>SUM(AC12:AF29)</f>
        <v/>
      </c>
      <c r="AD30" s="96" t="n"/>
      <c r="AE30" s="96" t="n"/>
      <c r="AF30" s="108" t="n"/>
    </row>
    <row r="31" ht="20.1" customHeight="1" s="87">
      <c r="A31" s="19" t="inlineStr">
        <is>
          <t>납기일자</t>
        </is>
      </c>
      <c r="B31" s="96" t="n"/>
      <c r="C31" s="96" t="n"/>
      <c r="D31" s="97" t="n"/>
      <c r="E31" s="19" t="inlineStr">
        <is>
          <t>시안 확정 후 영업일 기준 10일 내외</t>
        </is>
      </c>
      <c r="F31" s="96" t="n"/>
      <c r="G31" s="96" t="n"/>
      <c r="H31" s="96" t="n"/>
      <c r="I31" s="96" t="n"/>
      <c r="J31" s="96" t="n"/>
      <c r="K31" s="96" t="n"/>
      <c r="L31" s="96" t="n"/>
      <c r="M31" s="96" t="n"/>
      <c r="N31" s="96" t="n"/>
      <c r="O31" s="97" t="n"/>
      <c r="P31" s="19" t="inlineStr">
        <is>
          <t>납품장소</t>
        </is>
      </c>
      <c r="Q31" s="96" t="n"/>
      <c r="R31" s="96" t="n"/>
      <c r="S31" s="97" t="n"/>
      <c r="T31" s="69">
        <f>" "&amp;C6</f>
        <v/>
      </c>
      <c r="U31" s="96" t="n"/>
      <c r="V31" s="96" t="n"/>
      <c r="W31" s="96" t="n"/>
      <c r="X31" s="96" t="n"/>
      <c r="Y31" s="96" t="n"/>
      <c r="Z31" s="96" t="n"/>
      <c r="AA31" s="96" t="n"/>
      <c r="AB31" s="96" t="n"/>
      <c r="AC31" s="96" t="n"/>
      <c r="AD31" s="96" t="n"/>
      <c r="AE31" s="96" t="n"/>
      <c r="AF31" s="97" t="n"/>
    </row>
    <row r="32" ht="20.1" customHeight="1" s="87">
      <c r="A32" s="19" t="inlineStr">
        <is>
          <t>입금계좌</t>
        </is>
      </c>
      <c r="B32" s="96" t="n"/>
      <c r="C32" s="96" t="n"/>
      <c r="D32" s="97" t="n"/>
      <c r="E32" s="19" t="inlineStr">
        <is>
          <t>농협 352-0830-9616-43 (예금주:이수진)</t>
        </is>
      </c>
      <c r="F32" s="96" t="n"/>
      <c r="G32" s="96" t="n"/>
      <c r="H32" s="96" t="n"/>
      <c r="I32" s="96" t="n"/>
      <c r="J32" s="96" t="n"/>
      <c r="K32" s="96" t="n"/>
      <c r="L32" s="96" t="n"/>
      <c r="M32" s="96" t="n"/>
      <c r="N32" s="96" t="n"/>
      <c r="O32" s="96" t="n"/>
      <c r="P32" s="96" t="n"/>
      <c r="Q32" s="96" t="n"/>
      <c r="R32" s="96" t="n"/>
      <c r="S32" s="96" t="n"/>
      <c r="T32" s="96" t="n"/>
      <c r="U32" s="96" t="n"/>
      <c r="V32" s="96" t="n"/>
      <c r="W32" s="97" t="n"/>
      <c r="X32" s="19" t="inlineStr">
        <is>
          <t>결제조건</t>
        </is>
      </c>
      <c r="Y32" s="96" t="n"/>
      <c r="Z32" s="96" t="n"/>
      <c r="AA32" s="96" t="n"/>
      <c r="AB32" s="97" t="n"/>
      <c r="AC32" s="19" t="inlineStr">
        <is>
          <t xml:space="preserve">✔현금 </t>
        </is>
      </c>
      <c r="AD32" s="96" t="n"/>
      <c r="AE32" s="96" t="n"/>
      <c r="AF32" s="97" t="n"/>
    </row>
    <row r="33" ht="20.1" customHeight="1" s="87">
      <c r="A33" s="19" t="inlineStr">
        <is>
          <t>비고</t>
        </is>
      </c>
      <c r="B33" s="89" t="n"/>
      <c r="C33" s="89" t="n"/>
      <c r="D33" s="90" t="n"/>
      <c r="E33" s="128" t="inlineStr">
        <is>
          <t xml:space="preserve"> 전자세금계산서 발행</t>
        </is>
      </c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29" t="n"/>
      <c r="U33" s="129" t="n"/>
      <c r="V33" s="129" t="n"/>
      <c r="W33" s="129" t="n"/>
      <c r="X33" s="129" t="n"/>
      <c r="Y33" s="129" t="n"/>
      <c r="Z33" s="129" t="n"/>
      <c r="AA33" s="129" t="n"/>
      <c r="AB33" s="129" t="n"/>
      <c r="AC33" s="129" t="n"/>
      <c r="AD33" s="129" t="n"/>
      <c r="AE33" s="129" t="n"/>
      <c r="AF33" s="130" t="n"/>
    </row>
    <row r="34" ht="20.25" customHeight="1" s="87">
      <c r="A34" s="93" t="n"/>
      <c r="B34" s="94" t="n"/>
      <c r="C34" s="94" t="n"/>
      <c r="D34" s="95" t="n"/>
      <c r="E34" s="131" t="inlineStr">
        <is>
          <t xml:space="preserve"> 개별 포장</t>
        </is>
      </c>
      <c r="F34" s="100" t="n"/>
      <c r="G34" s="100" t="n"/>
      <c r="H34" s="100" t="n"/>
      <c r="I34" s="100" t="n"/>
      <c r="J34" s="100" t="n"/>
      <c r="K34" s="100" t="n"/>
      <c r="L34" s="100" t="n"/>
      <c r="M34" s="100" t="n"/>
      <c r="N34" s="100" t="n"/>
      <c r="O34" s="100" t="n"/>
      <c r="P34" s="100" t="n"/>
      <c r="Q34" s="100" t="n"/>
      <c r="R34" s="100" t="n"/>
      <c r="S34" s="100" t="n"/>
      <c r="T34" s="100" t="n"/>
      <c r="U34" s="100" t="n"/>
      <c r="V34" s="100" t="n"/>
      <c r="W34" s="100" t="n"/>
      <c r="X34" s="100" t="n"/>
      <c r="Y34" s="100" t="n"/>
      <c r="Z34" s="100" t="n"/>
      <c r="AA34" s="100" t="n"/>
      <c r="AB34" s="100" t="n"/>
      <c r="AC34" s="100" t="n"/>
      <c r="AD34" s="100" t="n"/>
      <c r="AE34" s="100" t="n"/>
      <c r="AF34" s="103" t="n"/>
    </row>
    <row r="35"/>
    <row r="36"/>
    <row r="37"/>
    <row r="38"/>
    <row r="39"/>
    <row r="40" ht="14.25" customFormat="1" customHeight="1" s="17">
      <c r="A40" s="16" t="n"/>
      <c r="B40" s="16" t="n"/>
      <c r="C40" s="16" t="n"/>
      <c r="D40" s="16" t="n"/>
      <c r="E40" s="16" t="n"/>
      <c r="F40" s="16" t="n"/>
      <c r="G40" s="16" t="n"/>
      <c r="H40" s="16" t="n"/>
    </row>
    <row r="41" ht="14.25" customHeight="1" s="87"/>
    <row r="42" ht="14.25" customHeight="1" s="87"/>
  </sheetData>
  <mergeCells count="195">
    <mergeCell ref="A15:B15"/>
    <mergeCell ref="AC22:AF22"/>
    <mergeCell ref="P20:Q20"/>
    <mergeCell ref="T16:W16"/>
    <mergeCell ref="R28:S28"/>
    <mergeCell ref="P22:Q22"/>
    <mergeCell ref="L27:O27"/>
    <mergeCell ref="X17:AB17"/>
    <mergeCell ref="T18:W18"/>
    <mergeCell ref="A31:D31"/>
    <mergeCell ref="C27:K27"/>
    <mergeCell ref="O7:R7"/>
    <mergeCell ref="L17:O17"/>
    <mergeCell ref="A1:AF3"/>
    <mergeCell ref="C17:K17"/>
    <mergeCell ref="X19:AB19"/>
    <mergeCell ref="AC32:AF32"/>
    <mergeCell ref="A27:B27"/>
    <mergeCell ref="O6:R6"/>
    <mergeCell ref="R12:S12"/>
    <mergeCell ref="L19:O19"/>
    <mergeCell ref="L28:O28"/>
    <mergeCell ref="S10:T10"/>
    <mergeCell ref="C19:K19"/>
    <mergeCell ref="C28:K28"/>
    <mergeCell ref="L12:O12"/>
    <mergeCell ref="P13:Q13"/>
    <mergeCell ref="A17:B17"/>
    <mergeCell ref="AC24:AF24"/>
    <mergeCell ref="A22:B22"/>
    <mergeCell ref="L14:O14"/>
    <mergeCell ref="P15:Q15"/>
    <mergeCell ref="C14:K14"/>
    <mergeCell ref="T12:W12"/>
    <mergeCell ref="A19:B19"/>
    <mergeCell ref="P24:Q24"/>
    <mergeCell ref="AC26:AF26"/>
    <mergeCell ref="T21:W21"/>
    <mergeCell ref="X6:AA6"/>
    <mergeCell ref="A28:B28"/>
    <mergeCell ref="X22:AB22"/>
    <mergeCell ref="R18:S18"/>
    <mergeCell ref="AC10:AF10"/>
    <mergeCell ref="AC19:AF19"/>
    <mergeCell ref="AC25:AF25"/>
    <mergeCell ref="X12:AB12"/>
    <mergeCell ref="P26:Q26"/>
    <mergeCell ref="X21:AB21"/>
    <mergeCell ref="E10:J10"/>
    <mergeCell ref="T23:W23"/>
    <mergeCell ref="O8:R8"/>
    <mergeCell ref="A11:B11"/>
    <mergeCell ref="T13:W13"/>
    <mergeCell ref="L21:O21"/>
    <mergeCell ref="A9:AF9"/>
    <mergeCell ref="P25:Q25"/>
    <mergeCell ref="R19:S19"/>
    <mergeCell ref="X23:AB23"/>
    <mergeCell ref="X32:AB32"/>
    <mergeCell ref="AC11:AF11"/>
    <mergeCell ref="G8:N8"/>
    <mergeCell ref="E32:W32"/>
    <mergeCell ref="X13:AB13"/>
    <mergeCell ref="T27:W27"/>
    <mergeCell ref="R16:S16"/>
    <mergeCell ref="R25:S25"/>
    <mergeCell ref="X16:AB16"/>
    <mergeCell ref="T24:W24"/>
    <mergeCell ref="P11:Q11"/>
    <mergeCell ref="L16:O16"/>
    <mergeCell ref="X18:AB18"/>
    <mergeCell ref="AC28:AF28"/>
    <mergeCell ref="A26:B26"/>
    <mergeCell ref="X8:AA8"/>
    <mergeCell ref="AC13:AF13"/>
    <mergeCell ref="E33:AF33"/>
    <mergeCell ref="C18:K18"/>
    <mergeCell ref="AC30:AF30"/>
    <mergeCell ref="S6:W6"/>
    <mergeCell ref="P28:Q28"/>
    <mergeCell ref="T25:W25"/>
    <mergeCell ref="AC15:AF15"/>
    <mergeCell ref="AC23:AF23"/>
    <mergeCell ref="X25:AB25"/>
    <mergeCell ref="L20:O20"/>
    <mergeCell ref="P14:Q14"/>
    <mergeCell ref="T11:W11"/>
    <mergeCell ref="R14:S14"/>
    <mergeCell ref="K6:L6"/>
    <mergeCell ref="L29:O29"/>
    <mergeCell ref="X27:AB27"/>
    <mergeCell ref="C20:K20"/>
    <mergeCell ref="L10:R10"/>
    <mergeCell ref="R23:S23"/>
    <mergeCell ref="C29:K29"/>
    <mergeCell ref="L22:O22"/>
    <mergeCell ref="X11:AB11"/>
    <mergeCell ref="X4:AA4"/>
    <mergeCell ref="AB6:AF6"/>
    <mergeCell ref="C6:J6"/>
    <mergeCell ref="C22:K22"/>
    <mergeCell ref="T31:AF31"/>
    <mergeCell ref="A10:D10"/>
    <mergeCell ref="C12:K12"/>
    <mergeCell ref="AC27:AF27"/>
    <mergeCell ref="AB4:AF4"/>
    <mergeCell ref="C21:K21"/>
    <mergeCell ref="S8:W8"/>
    <mergeCell ref="AC17:AF17"/>
    <mergeCell ref="T15:W15"/>
    <mergeCell ref="C23:K23"/>
    <mergeCell ref="P27:Q27"/>
    <mergeCell ref="T29:W29"/>
    <mergeCell ref="R27:S27"/>
    <mergeCell ref="A12:B12"/>
    <mergeCell ref="E31:O31"/>
    <mergeCell ref="P17:Q17"/>
    <mergeCell ref="A21:B21"/>
    <mergeCell ref="X15:AB15"/>
    <mergeCell ref="R20:S20"/>
    <mergeCell ref="A33:D34"/>
    <mergeCell ref="X24:AB24"/>
    <mergeCell ref="AC12:AF12"/>
    <mergeCell ref="A14:B14"/>
    <mergeCell ref="O5:R5"/>
    <mergeCell ref="R17:S17"/>
    <mergeCell ref="P19:Q19"/>
    <mergeCell ref="L24:O24"/>
    <mergeCell ref="A23:B23"/>
    <mergeCell ref="L18:O18"/>
    <mergeCell ref="R22:S22"/>
    <mergeCell ref="AB8:AF8"/>
    <mergeCell ref="C24:K24"/>
    <mergeCell ref="X26:AB26"/>
    <mergeCell ref="AC14:AF14"/>
    <mergeCell ref="O4:R4"/>
    <mergeCell ref="P12:Q12"/>
    <mergeCell ref="L26:O26"/>
    <mergeCell ref="X10:AB10"/>
    <mergeCell ref="AC29:AF29"/>
    <mergeCell ref="C26:K26"/>
    <mergeCell ref="S4:W4"/>
    <mergeCell ref="A32:D32"/>
    <mergeCell ref="L25:O25"/>
    <mergeCell ref="E34:AF34"/>
    <mergeCell ref="C16:K16"/>
    <mergeCell ref="A24:B24"/>
    <mergeCell ref="T17:W17"/>
    <mergeCell ref="C25:K25"/>
    <mergeCell ref="P29:Q29"/>
    <mergeCell ref="R29:S29"/>
    <mergeCell ref="T22:W22"/>
    <mergeCell ref="R11:S11"/>
    <mergeCell ref="AC21:AF21"/>
    <mergeCell ref="R13:S13"/>
    <mergeCell ref="T19:W19"/>
    <mergeCell ref="L11:O11"/>
    <mergeCell ref="T28:W28"/>
    <mergeCell ref="A16:B16"/>
    <mergeCell ref="C11:K11"/>
    <mergeCell ref="P21:Q21"/>
    <mergeCell ref="A25:B25"/>
    <mergeCell ref="R15:S15"/>
    <mergeCell ref="S7:W7"/>
    <mergeCell ref="C8:E8"/>
    <mergeCell ref="R24:S24"/>
    <mergeCell ref="X28:AB28"/>
    <mergeCell ref="AC16:AF16"/>
    <mergeCell ref="A18:B18"/>
    <mergeCell ref="T20:W20"/>
    <mergeCell ref="R21:S21"/>
    <mergeCell ref="T14:W14"/>
    <mergeCell ref="P23:Q23"/>
    <mergeCell ref="A30:AB30"/>
    <mergeCell ref="R26:S26"/>
    <mergeCell ref="P31:S31"/>
    <mergeCell ref="L13:O13"/>
    <mergeCell ref="AC18:AF18"/>
    <mergeCell ref="P16:Q16"/>
    <mergeCell ref="X20:AB20"/>
    <mergeCell ref="C13:K13"/>
    <mergeCell ref="X14:AB14"/>
    <mergeCell ref="X29:AB29"/>
    <mergeCell ref="X7:AA7"/>
    <mergeCell ref="L15:O15"/>
    <mergeCell ref="P18:Q18"/>
    <mergeCell ref="L23:O23"/>
    <mergeCell ref="A20:B20"/>
    <mergeCell ref="C15:K15"/>
    <mergeCell ref="A29:B29"/>
    <mergeCell ref="AB7:AF7"/>
    <mergeCell ref="T26:W26"/>
    <mergeCell ref="A13:B13"/>
    <mergeCell ref="AC20:AF20"/>
    <mergeCell ref="S5:AF5"/>
  </mergeCells>
  <pageMargins left="0.699999988079071" right="0.699999988079071" top="0.75" bottom="0.75" header="0.300000011920929" footer="0.300000011920929"/>
  <pageSetup orientation="portrait" paperSize="9" scale="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2013-01-24T13:12:57Z</dcterms:created>
  <dcterms:modified xsi:type="dcterms:W3CDTF">2025-12-06T17:11:31Z</dcterms:modified>
  <cp:revision>2</cp:revision>
</cp:coreProperties>
</file>